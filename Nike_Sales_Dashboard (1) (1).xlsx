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ke Dataset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Sales 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&quot;$&quot;#,##0.00"/>
    <numFmt numFmtId="167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E94560"/>
      <sz val="14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6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166" fontId="5" fillId="7" borderId="0" applyAlignment="1" pivotButton="0" quotePrefix="0" xfId="0">
      <alignment horizontal="center" vertical="center"/>
    </xf>
    <xf numFmtId="3" fontId="5" fillId="7" borderId="0" applyAlignment="1" pivotButton="0" quotePrefix="0" xfId="0">
      <alignment horizontal="center" vertical="center"/>
    </xf>
    <xf numFmtId="167" fontId="5" fillId="7" borderId="0" applyAlignment="1" pivotButton="0" quotePrefix="0" xfId="0">
      <alignment horizontal="center" vertical="center"/>
    </xf>
    <xf numFmtId="0" fontId="6" fillId="2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2" fillId="4" borderId="0" pivotButton="0" quotePrefix="0" xfId="0"/>
    <xf numFmtId="166" fontId="2" fillId="4" borderId="0" applyAlignment="1" pivotButton="0" quotePrefix="0" xfId="0">
      <alignment horizontal="right"/>
    </xf>
    <xf numFmtId="0" fontId="2" fillId="3" borderId="0" pivotButton="0" quotePrefix="0" xfId="0"/>
    <xf numFmtId="166" fontId="2" fillId="3" borderId="0" applyAlignment="1" pivotButton="0" quotePrefix="0" xfId="0">
      <alignment horizontal="right"/>
    </xf>
    <xf numFmtId="0" fontId="7" fillId="0" borderId="0" pivotButton="0" quotePrefix="0" xfId="0"/>
    <xf numFmtId="166" fontId="7" fillId="0" borderId="0" applyAlignment="1" pivotButton="0" quotePrefix="0" xfId="0">
      <alignment horizontal="right"/>
    </xf>
    <xf numFmtId="0" fontId="8" fillId="5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right"/>
    </xf>
    <xf numFmtId="167" fontId="2" fillId="3" borderId="0" applyAlignment="1" pivotButton="0" quotePrefix="0" xfId="0">
      <alignment horizontal="right"/>
    </xf>
    <xf numFmtId="3" fontId="2" fillId="4" borderId="0" applyAlignment="1" pivotButton="0" quotePrefix="0" xfId="0">
      <alignment horizontal="right"/>
    </xf>
    <xf numFmtId="167" fontId="2" fillId="4" borderId="0" applyAlignment="1" pivotButton="0" quotePrefix="0" xfId="0">
      <alignment horizontal="right"/>
    </xf>
    <xf numFmtId="0" fontId="7" fillId="8" borderId="0" pivotButton="0" quotePrefix="0" xfId="0"/>
    <xf numFmtId="3" fontId="7" fillId="8" borderId="0" pivotButton="0" quotePrefix="0" xfId="0"/>
    <xf numFmtId="166" fontId="7" fillId="8" borderId="0" pivotButton="0" quotePrefix="0" xfId="0"/>
    <xf numFmtId="167" fontId="7" fillId="8" borderId="0" pivotButton="0" quotePrefix="0" xfId="0"/>
    <xf numFmtId="0" fontId="2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8" customWidth="1" min="4" max="4"/>
    <col width="26" customWidth="1" min="5" max="5"/>
    <col width="14" customWidth="1" min="6" max="6"/>
    <col width="11" customWidth="1" min="7" max="7"/>
    <col width="14" customWidth="1" min="8" max="8"/>
    <col width="16" customWidth="1" min="9" max="9"/>
    <col width="17" customWidth="1" min="10" max="10"/>
    <col width="13" customWidth="1" min="11" max="11"/>
  </cols>
  <sheetData>
    <row r="1" ht="30" customHeight="1">
      <c r="A1" s="1" t="inlineStr">
        <is>
          <t>Invoice Date</t>
        </is>
      </c>
      <c r="B1" s="1" t="inlineStr">
        <is>
          <t>Retailer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Product</t>
        </is>
      </c>
      <c r="F1" s="1" t="inlineStr">
        <is>
          <t>Price per Unit</t>
        </is>
      </c>
      <c r="G1" s="1" t="inlineStr">
        <is>
          <t>Units Sold</t>
        </is>
      </c>
      <c r="H1" s="1" t="inlineStr">
        <is>
          <t>Sale Value</t>
        </is>
      </c>
      <c r="I1" s="1" t="inlineStr">
        <is>
          <t>Operating Profit</t>
        </is>
      </c>
      <c r="J1" s="1" t="inlineStr">
        <is>
          <t>Operating Margin</t>
        </is>
      </c>
      <c r="K1" s="1" t="inlineStr">
        <is>
          <t>Sales Method</t>
        </is>
      </c>
    </row>
    <row r="2">
      <c r="A2" s="2" t="n">
        <v>44593</v>
      </c>
      <c r="B2" s="3" t="inlineStr">
        <is>
          <t>Amazon</t>
        </is>
      </c>
      <c r="C2" s="3" t="inlineStr">
        <is>
          <t>Midwest</t>
        </is>
      </c>
      <c r="D2" s="3" t="inlineStr">
        <is>
          <t>Ohio</t>
        </is>
      </c>
      <c r="E2" s="3" t="inlineStr">
        <is>
          <t>Women's Athletic Footwear</t>
        </is>
      </c>
      <c r="F2" s="4" t="n">
        <v>42.3</v>
      </c>
      <c r="G2" s="5" t="n">
        <v>1566</v>
      </c>
      <c r="H2" s="4" t="n">
        <v>66241.8</v>
      </c>
      <c r="I2" s="4" t="n">
        <v>27311.49</v>
      </c>
      <c r="J2" s="6" t="n">
        <v>0.4123</v>
      </c>
      <c r="K2" s="3" t="inlineStr">
        <is>
          <t>Outlet</t>
        </is>
      </c>
    </row>
    <row r="3">
      <c r="A3" s="7" t="n">
        <v>44118</v>
      </c>
      <c r="B3" s="8" t="inlineStr">
        <is>
          <t>Foot Locker</t>
        </is>
      </c>
      <c r="C3" s="8" t="inlineStr">
        <is>
          <t>Northeast</t>
        </is>
      </c>
      <c r="D3" s="8" t="inlineStr">
        <is>
          <t>New York</t>
        </is>
      </c>
      <c r="E3" s="8" t="inlineStr">
        <is>
          <t>Women's Athletic Footwear</t>
        </is>
      </c>
      <c r="F3" s="9" t="n">
        <v>90.64</v>
      </c>
      <c r="G3" s="10" t="n">
        <v>104</v>
      </c>
      <c r="H3" s="9" t="n">
        <v>9426.559999999999</v>
      </c>
      <c r="I3" s="9" t="n">
        <v>2794.03</v>
      </c>
      <c r="J3" s="11" t="n">
        <v>0.2964</v>
      </c>
      <c r="K3" s="8" t="inlineStr">
        <is>
          <t>In-store</t>
        </is>
      </c>
    </row>
    <row r="4">
      <c r="A4" s="2" t="n">
        <v>44888</v>
      </c>
      <c r="B4" s="3" t="inlineStr">
        <is>
          <t>Amazon</t>
        </is>
      </c>
      <c r="C4" s="3" t="inlineStr">
        <is>
          <t>West</t>
        </is>
      </c>
      <c r="D4" s="3" t="inlineStr">
        <is>
          <t>Colorado</t>
        </is>
      </c>
      <c r="E4" s="3" t="inlineStr">
        <is>
          <t>Women's Street Footwear</t>
        </is>
      </c>
      <c r="F4" s="4" t="n">
        <v>63.38</v>
      </c>
      <c r="G4" s="5" t="n">
        <v>1830</v>
      </c>
      <c r="H4" s="4" t="n">
        <v>115985.4</v>
      </c>
      <c r="I4" s="4" t="n">
        <v>11865.31</v>
      </c>
      <c r="J4" s="6" t="n">
        <v>0.1023</v>
      </c>
      <c r="K4" s="3" t="inlineStr">
        <is>
          <t>Outlet</t>
        </is>
      </c>
    </row>
    <row r="5">
      <c r="A5" s="7" t="n">
        <v>44179</v>
      </c>
      <c r="B5" s="8" t="inlineStr">
        <is>
          <t>Amazon</t>
        </is>
      </c>
      <c r="C5" s="8" t="inlineStr">
        <is>
          <t>Midwest</t>
        </is>
      </c>
      <c r="D5" s="8" t="inlineStr">
        <is>
          <t>Michigan</t>
        </is>
      </c>
      <c r="E5" s="8" t="inlineStr">
        <is>
          <t>Women's Athletic Footwear</t>
        </is>
      </c>
      <c r="F5" s="9" t="n">
        <v>42.27</v>
      </c>
      <c r="G5" s="10" t="n">
        <v>828</v>
      </c>
      <c r="H5" s="9" t="n">
        <v>34999.56</v>
      </c>
      <c r="I5" s="9" t="n">
        <v>4686.44</v>
      </c>
      <c r="J5" s="11" t="n">
        <v>0.1339</v>
      </c>
      <c r="K5" s="8" t="inlineStr">
        <is>
          <t>Online</t>
        </is>
      </c>
    </row>
    <row r="6">
      <c r="A6" s="2" t="n">
        <v>44478</v>
      </c>
      <c r="B6" s="3" t="inlineStr">
        <is>
          <t>West Gear</t>
        </is>
      </c>
      <c r="C6" s="3" t="inlineStr">
        <is>
          <t>Northeast</t>
        </is>
      </c>
      <c r="D6" s="3" t="inlineStr">
        <is>
          <t>New Jersey</t>
        </is>
      </c>
      <c r="E6" s="3" t="inlineStr">
        <is>
          <t>Men's Street Footwear</t>
        </is>
      </c>
      <c r="F6" s="4" t="n">
        <v>39.46</v>
      </c>
      <c r="G6" s="5" t="n">
        <v>650</v>
      </c>
      <c r="H6" s="4" t="n">
        <v>25649</v>
      </c>
      <c r="I6" s="4" t="n">
        <v>10010.8</v>
      </c>
      <c r="J6" s="6" t="n">
        <v>0.3903</v>
      </c>
      <c r="K6" s="3" t="inlineStr">
        <is>
          <t>Online</t>
        </is>
      </c>
    </row>
    <row r="7">
      <c r="A7" s="7" t="n">
        <v>44731</v>
      </c>
      <c r="B7" s="8" t="inlineStr">
        <is>
          <t>Foot Locker</t>
        </is>
      </c>
      <c r="C7" s="8" t="inlineStr">
        <is>
          <t>Southeast</t>
        </is>
      </c>
      <c r="D7" s="8" t="inlineStr">
        <is>
          <t>Florida</t>
        </is>
      </c>
      <c r="E7" s="8" t="inlineStr">
        <is>
          <t>Women's Apparel</t>
        </is>
      </c>
      <c r="F7" s="9" t="n">
        <v>122.77</v>
      </c>
      <c r="G7" s="10" t="n">
        <v>213</v>
      </c>
      <c r="H7" s="9" t="n">
        <v>26150.01</v>
      </c>
      <c r="I7" s="9" t="n">
        <v>10444.31</v>
      </c>
      <c r="J7" s="11" t="n">
        <v>0.3994</v>
      </c>
      <c r="K7" s="8" t="inlineStr">
        <is>
          <t>In-store</t>
        </is>
      </c>
    </row>
    <row r="8">
      <c r="A8" s="2" t="n">
        <v>44021</v>
      </c>
      <c r="B8" s="3" t="inlineStr">
        <is>
          <t>Amazon</t>
        </is>
      </c>
      <c r="C8" s="3" t="inlineStr">
        <is>
          <t>Southwest</t>
        </is>
      </c>
      <c r="D8" s="3" t="inlineStr">
        <is>
          <t>Nevada</t>
        </is>
      </c>
      <c r="E8" s="3" t="inlineStr">
        <is>
          <t>Men's Athletic Footwear</t>
        </is>
      </c>
      <c r="F8" s="4" t="n">
        <v>55.14</v>
      </c>
      <c r="G8" s="5" t="n">
        <v>596</v>
      </c>
      <c r="H8" s="4" t="n">
        <v>32863.44</v>
      </c>
      <c r="I8" s="4" t="n">
        <v>11357.6</v>
      </c>
      <c r="J8" s="6" t="n">
        <v>0.3456</v>
      </c>
      <c r="K8" s="3" t="inlineStr">
        <is>
          <t>Online</t>
        </is>
      </c>
    </row>
    <row r="9">
      <c r="A9" s="7" t="n">
        <v>44868</v>
      </c>
      <c r="B9" s="8" t="inlineStr">
        <is>
          <t>West Gear</t>
        </is>
      </c>
      <c r="C9" s="8" t="inlineStr">
        <is>
          <t>West</t>
        </is>
      </c>
      <c r="D9" s="8" t="inlineStr">
        <is>
          <t>Washington</t>
        </is>
      </c>
      <c r="E9" s="8" t="inlineStr">
        <is>
          <t>Women's Apparel</t>
        </is>
      </c>
      <c r="F9" s="9" t="n">
        <v>49.61</v>
      </c>
      <c r="G9" s="10" t="n">
        <v>827</v>
      </c>
      <c r="H9" s="9" t="n">
        <v>41027.47</v>
      </c>
      <c r="I9" s="9" t="n">
        <v>7979.84</v>
      </c>
      <c r="J9" s="11" t="n">
        <v>0.1945</v>
      </c>
      <c r="K9" s="8" t="inlineStr">
        <is>
          <t>In-store</t>
        </is>
      </c>
    </row>
    <row r="10">
      <c r="A10" s="2" t="n">
        <v>44913</v>
      </c>
      <c r="B10" s="3" t="inlineStr">
        <is>
          <t>Target</t>
        </is>
      </c>
      <c r="C10" s="3" t="inlineStr">
        <is>
          <t>Southeast</t>
        </is>
      </c>
      <c r="D10" s="3" t="inlineStr">
        <is>
          <t>North Carolina</t>
        </is>
      </c>
      <c r="E10" s="3" t="inlineStr">
        <is>
          <t>Men's Street Footwear</t>
        </is>
      </c>
      <c r="F10" s="4" t="n">
        <v>128.62</v>
      </c>
      <c r="G10" s="5" t="n">
        <v>1698</v>
      </c>
      <c r="H10" s="4" t="n">
        <v>218396.76</v>
      </c>
      <c r="I10" s="4" t="n">
        <v>45950.68</v>
      </c>
      <c r="J10" s="6" t="n">
        <v>0.2104</v>
      </c>
      <c r="K10" s="3" t="inlineStr">
        <is>
          <t>In-store</t>
        </is>
      </c>
    </row>
    <row r="11">
      <c r="A11" s="7" t="n">
        <v>44234</v>
      </c>
      <c r="B11" s="8" t="inlineStr">
        <is>
          <t>Amazon</t>
        </is>
      </c>
      <c r="C11" s="8" t="inlineStr">
        <is>
          <t>West</t>
        </is>
      </c>
      <c r="D11" s="8" t="inlineStr">
        <is>
          <t>Oregon</t>
        </is>
      </c>
      <c r="E11" s="8" t="inlineStr">
        <is>
          <t>Women's Apparel</t>
        </is>
      </c>
      <c r="F11" s="9" t="n">
        <v>77.48</v>
      </c>
      <c r="G11" s="10" t="n">
        <v>1922</v>
      </c>
      <c r="H11" s="9" t="n">
        <v>148916.56</v>
      </c>
      <c r="I11" s="9" t="n">
        <v>48397.88</v>
      </c>
      <c r="J11" s="11" t="n">
        <v>0.325</v>
      </c>
      <c r="K11" s="8" t="inlineStr">
        <is>
          <t>Online</t>
        </is>
      </c>
    </row>
    <row r="12">
      <c r="A12" s="2" t="n">
        <v>43956</v>
      </c>
      <c r="B12" s="3" t="inlineStr">
        <is>
          <t>West Gear</t>
        </is>
      </c>
      <c r="C12" s="3" t="inlineStr">
        <is>
          <t>Southeast</t>
        </is>
      </c>
      <c r="D12" s="3" t="inlineStr">
        <is>
          <t>Tennessee</t>
        </is>
      </c>
      <c r="E12" s="3" t="inlineStr">
        <is>
          <t>Men's Athletic Footwear</t>
        </is>
      </c>
      <c r="F12" s="4" t="n">
        <v>100.15</v>
      </c>
      <c r="G12" s="5" t="n">
        <v>1888</v>
      </c>
      <c r="H12" s="4" t="n">
        <v>189083.2</v>
      </c>
      <c r="I12" s="4" t="n">
        <v>57519.11</v>
      </c>
      <c r="J12" s="6" t="n">
        <v>0.3042</v>
      </c>
      <c r="K12" s="3" t="inlineStr">
        <is>
          <t>Outlet</t>
        </is>
      </c>
    </row>
    <row r="13">
      <c r="A13" s="7" t="n">
        <v>44291</v>
      </c>
      <c r="B13" s="8" t="inlineStr">
        <is>
          <t>Foot Locker</t>
        </is>
      </c>
      <c r="C13" s="8" t="inlineStr">
        <is>
          <t>West</t>
        </is>
      </c>
      <c r="D13" s="8" t="inlineStr">
        <is>
          <t>Colorado</t>
        </is>
      </c>
      <c r="E13" s="8" t="inlineStr">
        <is>
          <t>Men's Street Footwear</t>
        </is>
      </c>
      <c r="F13" s="9" t="n">
        <v>48.34</v>
      </c>
      <c r="G13" s="10" t="n">
        <v>377</v>
      </c>
      <c r="H13" s="9" t="n">
        <v>18224.18</v>
      </c>
      <c r="I13" s="9" t="n">
        <v>6874.16</v>
      </c>
      <c r="J13" s="11" t="n">
        <v>0.3772</v>
      </c>
      <c r="K13" s="8" t="inlineStr">
        <is>
          <t>In-store</t>
        </is>
      </c>
    </row>
    <row r="14">
      <c r="A14" s="2" t="n">
        <v>44472</v>
      </c>
      <c r="B14" s="3" t="inlineStr">
        <is>
          <t>West Gear</t>
        </is>
      </c>
      <c r="C14" s="3" t="inlineStr">
        <is>
          <t>Southwest</t>
        </is>
      </c>
      <c r="D14" s="3" t="inlineStr">
        <is>
          <t>Oklahoma</t>
        </is>
      </c>
      <c r="E14" s="3" t="inlineStr">
        <is>
          <t>Women's Street Footwear</t>
        </is>
      </c>
      <c r="F14" s="4" t="n">
        <v>60.17</v>
      </c>
      <c r="G14" s="5" t="n">
        <v>1183</v>
      </c>
      <c r="H14" s="4" t="n">
        <v>71181.11</v>
      </c>
      <c r="I14" s="4" t="n">
        <v>28564.98</v>
      </c>
      <c r="J14" s="6" t="n">
        <v>0.4013</v>
      </c>
      <c r="K14" s="3" t="inlineStr">
        <is>
          <t>Outlet</t>
        </is>
      </c>
    </row>
    <row r="15">
      <c r="A15" s="7" t="n">
        <v>44159</v>
      </c>
      <c r="B15" s="8" t="inlineStr">
        <is>
          <t>Target</t>
        </is>
      </c>
      <c r="C15" s="8" t="inlineStr">
        <is>
          <t>Northeast</t>
        </is>
      </c>
      <c r="D15" s="8" t="inlineStr">
        <is>
          <t>Connecticut</t>
        </is>
      </c>
      <c r="E15" s="8" t="inlineStr">
        <is>
          <t>Men's Athletic Footwear</t>
        </is>
      </c>
      <c r="F15" s="9" t="n">
        <v>70.81999999999999</v>
      </c>
      <c r="G15" s="10" t="n">
        <v>651</v>
      </c>
      <c r="H15" s="9" t="n">
        <v>46103.82</v>
      </c>
      <c r="I15" s="9" t="n">
        <v>11627.38</v>
      </c>
      <c r="J15" s="11" t="n">
        <v>0.2522</v>
      </c>
      <c r="K15" s="8" t="inlineStr">
        <is>
          <t>Outlet</t>
        </is>
      </c>
    </row>
    <row r="16">
      <c r="A16" s="2" t="n">
        <v>44220</v>
      </c>
      <c r="B16" s="3" t="inlineStr">
        <is>
          <t>Target</t>
        </is>
      </c>
      <c r="C16" s="3" t="inlineStr">
        <is>
          <t>Midwest</t>
        </is>
      </c>
      <c r="D16" s="3" t="inlineStr">
        <is>
          <t>Minnesota</t>
        </is>
      </c>
      <c r="E16" s="3" t="inlineStr">
        <is>
          <t>Women's Athletic Footwear</t>
        </is>
      </c>
      <c r="F16" s="4" t="n">
        <v>139.52</v>
      </c>
      <c r="G16" s="5" t="n">
        <v>1832</v>
      </c>
      <c r="H16" s="4" t="n">
        <v>255600.64</v>
      </c>
      <c r="I16" s="4" t="n">
        <v>81511.03999999999</v>
      </c>
      <c r="J16" s="6" t="n">
        <v>0.3189</v>
      </c>
      <c r="K16" s="3" t="inlineStr">
        <is>
          <t>Outlet</t>
        </is>
      </c>
    </row>
    <row r="17">
      <c r="A17" s="7" t="n">
        <v>44824</v>
      </c>
      <c r="B17" s="8" t="inlineStr">
        <is>
          <t>Sports Direct</t>
        </is>
      </c>
      <c r="C17" s="8" t="inlineStr">
        <is>
          <t>Southeast</t>
        </is>
      </c>
      <c r="D17" s="8" t="inlineStr">
        <is>
          <t>Georgia</t>
        </is>
      </c>
      <c r="E17" s="8" t="inlineStr">
        <is>
          <t>Women's Athletic Footwear</t>
        </is>
      </c>
      <c r="F17" s="9" t="n">
        <v>144.42</v>
      </c>
      <c r="G17" s="10" t="n">
        <v>1939</v>
      </c>
      <c r="H17" s="9" t="n">
        <v>280030.38</v>
      </c>
      <c r="I17" s="9" t="n">
        <v>79976.67999999999</v>
      </c>
      <c r="J17" s="11" t="n">
        <v>0.2856</v>
      </c>
      <c r="K17" s="8" t="inlineStr">
        <is>
          <t>Outlet</t>
        </is>
      </c>
    </row>
    <row r="18">
      <c r="A18" s="2" t="n">
        <v>44115</v>
      </c>
      <c r="B18" s="3" t="inlineStr">
        <is>
          <t>Foot Locker</t>
        </is>
      </c>
      <c r="C18" s="3" t="inlineStr">
        <is>
          <t>Southwest</t>
        </is>
      </c>
      <c r="D18" s="3" t="inlineStr">
        <is>
          <t>Texas</t>
        </is>
      </c>
      <c r="E18" s="3" t="inlineStr">
        <is>
          <t>Men's Athletic Footwear</t>
        </is>
      </c>
      <c r="F18" s="4" t="n">
        <v>58.73</v>
      </c>
      <c r="G18" s="5" t="n">
        <v>543</v>
      </c>
      <c r="H18" s="4" t="n">
        <v>31890.39</v>
      </c>
      <c r="I18" s="4" t="n">
        <v>12988.96</v>
      </c>
      <c r="J18" s="6" t="n">
        <v>0.4073</v>
      </c>
      <c r="K18" s="3" t="inlineStr">
        <is>
          <t>Online</t>
        </is>
      </c>
    </row>
    <row r="19">
      <c r="A19" s="7" t="n">
        <v>43885</v>
      </c>
      <c r="B19" s="8" t="inlineStr">
        <is>
          <t>Target</t>
        </is>
      </c>
      <c r="C19" s="8" t="inlineStr">
        <is>
          <t>Southwest</t>
        </is>
      </c>
      <c r="D19" s="8" t="inlineStr">
        <is>
          <t>Texas</t>
        </is>
      </c>
      <c r="E19" s="8" t="inlineStr">
        <is>
          <t>Men's Apparel</t>
        </is>
      </c>
      <c r="F19" s="9" t="n">
        <v>45.41</v>
      </c>
      <c r="G19" s="10" t="n">
        <v>1023</v>
      </c>
      <c r="H19" s="9" t="n">
        <v>46454.43</v>
      </c>
      <c r="I19" s="9" t="n">
        <v>20040.44</v>
      </c>
      <c r="J19" s="11" t="n">
        <v>0.4314</v>
      </c>
      <c r="K19" s="8" t="inlineStr">
        <is>
          <t>In-store</t>
        </is>
      </c>
    </row>
    <row r="20">
      <c r="A20" s="2" t="n">
        <v>43968</v>
      </c>
      <c r="B20" s="3" t="inlineStr">
        <is>
          <t>Amazon</t>
        </is>
      </c>
      <c r="C20" s="3" t="inlineStr">
        <is>
          <t>West</t>
        </is>
      </c>
      <c r="D20" s="3" t="inlineStr">
        <is>
          <t>Colorado</t>
        </is>
      </c>
      <c r="E20" s="3" t="inlineStr">
        <is>
          <t>Men's Apparel</t>
        </is>
      </c>
      <c r="F20" s="4" t="n">
        <v>112.78</v>
      </c>
      <c r="G20" s="5" t="n">
        <v>1510</v>
      </c>
      <c r="H20" s="4" t="n">
        <v>170297.8</v>
      </c>
      <c r="I20" s="4" t="n">
        <v>35609.27</v>
      </c>
      <c r="J20" s="6" t="n">
        <v>0.2091</v>
      </c>
      <c r="K20" s="3" t="inlineStr">
        <is>
          <t>Outlet</t>
        </is>
      </c>
    </row>
    <row r="21">
      <c r="A21" s="7" t="n">
        <v>44877</v>
      </c>
      <c r="B21" s="8" t="inlineStr">
        <is>
          <t>Walmart</t>
        </is>
      </c>
      <c r="C21" s="8" t="inlineStr">
        <is>
          <t>Southwest</t>
        </is>
      </c>
      <c r="D21" s="8" t="inlineStr">
        <is>
          <t>New Mexico</t>
        </is>
      </c>
      <c r="E21" s="8" t="inlineStr">
        <is>
          <t>Men's Street Footwear</t>
        </is>
      </c>
      <c r="F21" s="9" t="n">
        <v>56.96</v>
      </c>
      <c r="G21" s="10" t="n">
        <v>742</v>
      </c>
      <c r="H21" s="9" t="n">
        <v>42264.32</v>
      </c>
      <c r="I21" s="9" t="n">
        <v>4539.19</v>
      </c>
      <c r="J21" s="11" t="n">
        <v>0.1074</v>
      </c>
      <c r="K21" s="8" t="inlineStr">
        <is>
          <t>In-store</t>
        </is>
      </c>
    </row>
    <row r="22">
      <c r="A22" s="2" t="n">
        <v>44670</v>
      </c>
      <c r="B22" s="3" t="inlineStr">
        <is>
          <t>Foot Locker</t>
        </is>
      </c>
      <c r="C22" s="3" t="inlineStr">
        <is>
          <t>Southeast</t>
        </is>
      </c>
      <c r="D22" s="3" t="inlineStr">
        <is>
          <t>Florida</t>
        </is>
      </c>
      <c r="E22" s="3" t="inlineStr">
        <is>
          <t>Women's Apparel</t>
        </is>
      </c>
      <c r="F22" s="4" t="n">
        <v>37.06</v>
      </c>
      <c r="G22" s="5" t="n">
        <v>188</v>
      </c>
      <c r="H22" s="4" t="n">
        <v>6967.28</v>
      </c>
      <c r="I22" s="4" t="n">
        <v>2904.66</v>
      </c>
      <c r="J22" s="6" t="n">
        <v>0.4169</v>
      </c>
      <c r="K22" s="3" t="inlineStr">
        <is>
          <t>Outlet</t>
        </is>
      </c>
    </row>
    <row r="23">
      <c r="A23" s="7" t="n">
        <v>44244</v>
      </c>
      <c r="B23" s="8" t="inlineStr">
        <is>
          <t>Kohl's</t>
        </is>
      </c>
      <c r="C23" s="8" t="inlineStr">
        <is>
          <t>Southeast</t>
        </is>
      </c>
      <c r="D23" s="8" t="inlineStr">
        <is>
          <t>North Carolina</t>
        </is>
      </c>
      <c r="E23" s="8" t="inlineStr">
        <is>
          <t>Women's Street Footwear</t>
        </is>
      </c>
      <c r="F23" s="9" t="n">
        <v>94.70999999999999</v>
      </c>
      <c r="G23" s="10" t="n">
        <v>1531</v>
      </c>
      <c r="H23" s="9" t="n">
        <v>145001.01</v>
      </c>
      <c r="I23" s="9" t="n">
        <v>61973.43</v>
      </c>
      <c r="J23" s="11" t="n">
        <v>0.4274</v>
      </c>
      <c r="K23" s="8" t="inlineStr">
        <is>
          <t>In-store</t>
        </is>
      </c>
    </row>
    <row r="24">
      <c r="A24" s="2" t="n">
        <v>44850</v>
      </c>
      <c r="B24" s="3" t="inlineStr">
        <is>
          <t>Target</t>
        </is>
      </c>
      <c r="C24" s="3" t="inlineStr">
        <is>
          <t>Southeast</t>
        </is>
      </c>
      <c r="D24" s="3" t="inlineStr">
        <is>
          <t>Virginia</t>
        </is>
      </c>
      <c r="E24" s="3" t="inlineStr">
        <is>
          <t>Women's Street Footwear</t>
        </is>
      </c>
      <c r="F24" s="4" t="n">
        <v>41.32</v>
      </c>
      <c r="G24" s="5" t="n">
        <v>1399</v>
      </c>
      <c r="H24" s="4" t="n">
        <v>57806.68</v>
      </c>
      <c r="I24" s="4" t="n">
        <v>14503.7</v>
      </c>
      <c r="J24" s="6" t="n">
        <v>0.2509</v>
      </c>
      <c r="K24" s="3" t="inlineStr">
        <is>
          <t>In-store</t>
        </is>
      </c>
    </row>
    <row r="25">
      <c r="A25" s="7" t="n">
        <v>44392</v>
      </c>
      <c r="B25" s="8" t="inlineStr">
        <is>
          <t>Foot Locker</t>
        </is>
      </c>
      <c r="C25" s="8" t="inlineStr">
        <is>
          <t>Northeast</t>
        </is>
      </c>
      <c r="D25" s="8" t="inlineStr">
        <is>
          <t>New York</t>
        </is>
      </c>
      <c r="E25" s="8" t="inlineStr">
        <is>
          <t>Women's Street Footwear</t>
        </is>
      </c>
      <c r="F25" s="9" t="n">
        <v>70.72</v>
      </c>
      <c r="G25" s="10" t="n">
        <v>1814</v>
      </c>
      <c r="H25" s="9" t="n">
        <v>128286.08</v>
      </c>
      <c r="I25" s="9" t="n">
        <v>17729.14</v>
      </c>
      <c r="J25" s="11" t="n">
        <v>0.1382</v>
      </c>
      <c r="K25" s="8" t="inlineStr">
        <is>
          <t>Outlet</t>
        </is>
      </c>
    </row>
    <row r="26">
      <c r="A26" s="2" t="n">
        <v>43939</v>
      </c>
      <c r="B26" s="3" t="inlineStr">
        <is>
          <t>Walmart</t>
        </is>
      </c>
      <c r="C26" s="3" t="inlineStr">
        <is>
          <t>Southwest</t>
        </is>
      </c>
      <c r="D26" s="3" t="inlineStr">
        <is>
          <t>Arizona</t>
        </is>
      </c>
      <c r="E26" s="3" t="inlineStr">
        <is>
          <t>Women's Athletic Footwear</t>
        </is>
      </c>
      <c r="F26" s="4" t="n">
        <v>85.52</v>
      </c>
      <c r="G26" s="5" t="n">
        <v>1840</v>
      </c>
      <c r="H26" s="4" t="n">
        <v>157356.8</v>
      </c>
      <c r="I26" s="4" t="n">
        <v>66577.66</v>
      </c>
      <c r="J26" s="6" t="n">
        <v>0.4231</v>
      </c>
      <c r="K26" s="3" t="inlineStr">
        <is>
          <t>Online</t>
        </is>
      </c>
    </row>
    <row r="27">
      <c r="A27" s="7" t="n">
        <v>44443</v>
      </c>
      <c r="B27" s="8" t="inlineStr">
        <is>
          <t>Target</t>
        </is>
      </c>
      <c r="C27" s="8" t="inlineStr">
        <is>
          <t>Northeast</t>
        </is>
      </c>
      <c r="D27" s="8" t="inlineStr">
        <is>
          <t>Connecticut</t>
        </is>
      </c>
      <c r="E27" s="8" t="inlineStr">
        <is>
          <t>Men's Street Footwear</t>
        </is>
      </c>
      <c r="F27" s="9" t="n">
        <v>141.16</v>
      </c>
      <c r="G27" s="10" t="n">
        <v>1788</v>
      </c>
      <c r="H27" s="9" t="n">
        <v>252394.08</v>
      </c>
      <c r="I27" s="9" t="n">
        <v>46112.4</v>
      </c>
      <c r="J27" s="11" t="n">
        <v>0.1827</v>
      </c>
      <c r="K27" s="8" t="inlineStr">
        <is>
          <t>In-store</t>
        </is>
      </c>
    </row>
    <row r="28">
      <c r="A28" s="2" t="n">
        <v>44424</v>
      </c>
      <c r="B28" s="3" t="inlineStr">
        <is>
          <t>Foot Locker</t>
        </is>
      </c>
      <c r="C28" s="3" t="inlineStr">
        <is>
          <t>Southeast</t>
        </is>
      </c>
      <c r="D28" s="3" t="inlineStr">
        <is>
          <t>Virginia</t>
        </is>
      </c>
      <c r="E28" s="3" t="inlineStr">
        <is>
          <t>Women's Athletic Footwear</t>
        </is>
      </c>
      <c r="F28" s="4" t="n">
        <v>30.26</v>
      </c>
      <c r="G28" s="5" t="n">
        <v>849</v>
      </c>
      <c r="H28" s="4" t="n">
        <v>25690.74</v>
      </c>
      <c r="I28" s="4" t="n">
        <v>4953.17</v>
      </c>
      <c r="J28" s="6" t="n">
        <v>0.1928</v>
      </c>
      <c r="K28" s="3" t="inlineStr">
        <is>
          <t>Online</t>
        </is>
      </c>
    </row>
    <row r="29">
      <c r="A29" s="7" t="n">
        <v>44330</v>
      </c>
      <c r="B29" s="8" t="inlineStr">
        <is>
          <t>Amazon</t>
        </is>
      </c>
      <c r="C29" s="8" t="inlineStr">
        <is>
          <t>West</t>
        </is>
      </c>
      <c r="D29" s="8" t="inlineStr">
        <is>
          <t>Colorado</t>
        </is>
      </c>
      <c r="E29" s="8" t="inlineStr">
        <is>
          <t>Women's Athletic Footwear</t>
        </is>
      </c>
      <c r="F29" s="9" t="n">
        <v>56.12</v>
      </c>
      <c r="G29" s="10" t="n">
        <v>169</v>
      </c>
      <c r="H29" s="9" t="n">
        <v>9484.280000000001</v>
      </c>
      <c r="I29" s="9" t="n">
        <v>2870.89</v>
      </c>
      <c r="J29" s="11" t="n">
        <v>0.3027</v>
      </c>
      <c r="K29" s="8" t="inlineStr">
        <is>
          <t>Online</t>
        </is>
      </c>
    </row>
    <row r="30">
      <c r="A30" s="2" t="n">
        <v>44585</v>
      </c>
      <c r="B30" s="3" t="inlineStr">
        <is>
          <t>Foot Locker</t>
        </is>
      </c>
      <c r="C30" s="3" t="inlineStr">
        <is>
          <t>Midwest</t>
        </is>
      </c>
      <c r="D30" s="3" t="inlineStr">
        <is>
          <t>Illinois</t>
        </is>
      </c>
      <c r="E30" s="3" t="inlineStr">
        <is>
          <t>Men's Apparel</t>
        </is>
      </c>
      <c r="F30" s="4" t="n">
        <v>90.34</v>
      </c>
      <c r="G30" s="5" t="n">
        <v>1796</v>
      </c>
      <c r="H30" s="4" t="n">
        <v>162250.64</v>
      </c>
      <c r="I30" s="4" t="n">
        <v>46387.46</v>
      </c>
      <c r="J30" s="6" t="n">
        <v>0.2859</v>
      </c>
      <c r="K30" s="3" t="inlineStr">
        <is>
          <t>Online</t>
        </is>
      </c>
    </row>
    <row r="31">
      <c r="A31" s="7" t="n">
        <v>44077</v>
      </c>
      <c r="B31" s="8" t="inlineStr">
        <is>
          <t>West Gear</t>
        </is>
      </c>
      <c r="C31" s="8" t="inlineStr">
        <is>
          <t>Southeast</t>
        </is>
      </c>
      <c r="D31" s="8" t="inlineStr">
        <is>
          <t>Florida</t>
        </is>
      </c>
      <c r="E31" s="8" t="inlineStr">
        <is>
          <t>Men's Street Footwear</t>
        </is>
      </c>
      <c r="F31" s="9" t="n">
        <v>133.42</v>
      </c>
      <c r="G31" s="10" t="n">
        <v>876</v>
      </c>
      <c r="H31" s="9" t="n">
        <v>116875.92</v>
      </c>
      <c r="I31" s="9" t="n">
        <v>16596.38</v>
      </c>
      <c r="J31" s="11" t="n">
        <v>0.142</v>
      </c>
      <c r="K31" s="8" t="inlineStr">
        <is>
          <t>Outlet</t>
        </is>
      </c>
    </row>
    <row r="32">
      <c r="A32" s="2" t="n">
        <v>44670</v>
      </c>
      <c r="B32" s="3" t="inlineStr">
        <is>
          <t>West Gear</t>
        </is>
      </c>
      <c r="C32" s="3" t="inlineStr">
        <is>
          <t>West</t>
        </is>
      </c>
      <c r="D32" s="3" t="inlineStr">
        <is>
          <t>California</t>
        </is>
      </c>
      <c r="E32" s="3" t="inlineStr">
        <is>
          <t>Men's Street Footwear</t>
        </is>
      </c>
      <c r="F32" s="4" t="n">
        <v>108.88</v>
      </c>
      <c r="G32" s="5" t="n">
        <v>1207</v>
      </c>
      <c r="H32" s="4" t="n">
        <v>131418.16</v>
      </c>
      <c r="I32" s="4" t="n">
        <v>37191.34</v>
      </c>
      <c r="J32" s="6" t="n">
        <v>0.283</v>
      </c>
      <c r="K32" s="3" t="inlineStr">
        <is>
          <t>Online</t>
        </is>
      </c>
    </row>
    <row r="33">
      <c r="A33" s="7" t="n">
        <v>44308</v>
      </c>
      <c r="B33" s="8" t="inlineStr">
        <is>
          <t>Sports Direct</t>
        </is>
      </c>
      <c r="C33" s="8" t="inlineStr">
        <is>
          <t>Midwest</t>
        </is>
      </c>
      <c r="D33" s="8" t="inlineStr">
        <is>
          <t>Ohio</t>
        </is>
      </c>
      <c r="E33" s="8" t="inlineStr">
        <is>
          <t>Women's Street Footwear</t>
        </is>
      </c>
      <c r="F33" s="9" t="n">
        <v>110.6</v>
      </c>
      <c r="G33" s="10" t="n">
        <v>664</v>
      </c>
      <c r="H33" s="9" t="n">
        <v>73438.39999999999</v>
      </c>
      <c r="I33" s="9" t="n">
        <v>19093.98</v>
      </c>
      <c r="J33" s="11" t="n">
        <v>0.26</v>
      </c>
      <c r="K33" s="8" t="inlineStr">
        <is>
          <t>In-store</t>
        </is>
      </c>
    </row>
    <row r="34">
      <c r="A34" s="2" t="n">
        <v>43845</v>
      </c>
      <c r="B34" s="3" t="inlineStr">
        <is>
          <t>Foot Locker</t>
        </is>
      </c>
      <c r="C34" s="3" t="inlineStr">
        <is>
          <t>West</t>
        </is>
      </c>
      <c r="D34" s="3" t="inlineStr">
        <is>
          <t>Utah</t>
        </is>
      </c>
      <c r="E34" s="3" t="inlineStr">
        <is>
          <t>Men's Street Footwear</t>
        </is>
      </c>
      <c r="F34" s="4" t="n">
        <v>55.58</v>
      </c>
      <c r="G34" s="5" t="n">
        <v>593</v>
      </c>
      <c r="H34" s="4" t="n">
        <v>32958.94</v>
      </c>
      <c r="I34" s="4" t="n">
        <v>4825.19</v>
      </c>
      <c r="J34" s="6" t="n">
        <v>0.1464</v>
      </c>
      <c r="K34" s="3" t="inlineStr">
        <is>
          <t>Outlet</t>
        </is>
      </c>
    </row>
    <row r="35">
      <c r="A35" s="7" t="n">
        <v>44235</v>
      </c>
      <c r="B35" s="8" t="inlineStr">
        <is>
          <t>Amazon</t>
        </is>
      </c>
      <c r="C35" s="8" t="inlineStr">
        <is>
          <t>Midwest</t>
        </is>
      </c>
      <c r="D35" s="8" t="inlineStr">
        <is>
          <t>Michigan</t>
        </is>
      </c>
      <c r="E35" s="8" t="inlineStr">
        <is>
          <t>Women's Street Footwear</t>
        </is>
      </c>
      <c r="F35" s="9" t="n">
        <v>114.42</v>
      </c>
      <c r="G35" s="10" t="n">
        <v>1302</v>
      </c>
      <c r="H35" s="9" t="n">
        <v>148974.84</v>
      </c>
      <c r="I35" s="9" t="n">
        <v>66189.52</v>
      </c>
      <c r="J35" s="11" t="n">
        <v>0.4443</v>
      </c>
      <c r="K35" s="8" t="inlineStr">
        <is>
          <t>Outlet</t>
        </is>
      </c>
    </row>
    <row r="36">
      <c r="A36" s="2" t="n">
        <v>44805</v>
      </c>
      <c r="B36" s="3" t="inlineStr">
        <is>
          <t>Kohl's</t>
        </is>
      </c>
      <c r="C36" s="3" t="inlineStr">
        <is>
          <t>West</t>
        </is>
      </c>
      <c r="D36" s="3" t="inlineStr">
        <is>
          <t>Oregon</t>
        </is>
      </c>
      <c r="E36" s="3" t="inlineStr">
        <is>
          <t>Men's Street Footwear</t>
        </is>
      </c>
      <c r="F36" s="4" t="n">
        <v>61.74</v>
      </c>
      <c r="G36" s="5" t="n">
        <v>1872</v>
      </c>
      <c r="H36" s="4" t="n">
        <v>115577.28</v>
      </c>
      <c r="I36" s="4" t="n">
        <v>15891.88</v>
      </c>
      <c r="J36" s="6" t="n">
        <v>0.1375</v>
      </c>
      <c r="K36" s="3" t="inlineStr">
        <is>
          <t>In-store</t>
        </is>
      </c>
    </row>
    <row r="37">
      <c r="A37" s="7" t="n">
        <v>44629</v>
      </c>
      <c r="B37" s="8" t="inlineStr">
        <is>
          <t>Amazon</t>
        </is>
      </c>
      <c r="C37" s="8" t="inlineStr">
        <is>
          <t>Midwest</t>
        </is>
      </c>
      <c r="D37" s="8" t="inlineStr">
        <is>
          <t>Minnesota</t>
        </is>
      </c>
      <c r="E37" s="8" t="inlineStr">
        <is>
          <t>Women's Apparel</t>
        </is>
      </c>
      <c r="F37" s="9" t="n">
        <v>54.43</v>
      </c>
      <c r="G37" s="10" t="n">
        <v>1348</v>
      </c>
      <c r="H37" s="9" t="n">
        <v>73371.64</v>
      </c>
      <c r="I37" s="9" t="n">
        <v>29238.6</v>
      </c>
      <c r="J37" s="11" t="n">
        <v>0.3985</v>
      </c>
      <c r="K37" s="8" t="inlineStr">
        <is>
          <t>Online</t>
        </is>
      </c>
    </row>
    <row r="38">
      <c r="A38" s="2" t="n">
        <v>44782</v>
      </c>
      <c r="B38" s="3" t="inlineStr">
        <is>
          <t>Kohl's</t>
        </is>
      </c>
      <c r="C38" s="3" t="inlineStr">
        <is>
          <t>Northeast</t>
        </is>
      </c>
      <c r="D38" s="3" t="inlineStr">
        <is>
          <t>New York</t>
        </is>
      </c>
      <c r="E38" s="3" t="inlineStr">
        <is>
          <t>Women's Street Footwear</t>
        </is>
      </c>
      <c r="F38" s="4" t="n">
        <v>35.29</v>
      </c>
      <c r="G38" s="5" t="n">
        <v>733</v>
      </c>
      <c r="H38" s="4" t="n">
        <v>25867.57</v>
      </c>
      <c r="I38" s="4" t="n">
        <v>9568.41</v>
      </c>
      <c r="J38" s="6" t="n">
        <v>0.3699</v>
      </c>
      <c r="K38" s="3" t="inlineStr">
        <is>
          <t>Online</t>
        </is>
      </c>
    </row>
    <row r="39">
      <c r="A39" s="7" t="n">
        <v>44687</v>
      </c>
      <c r="B39" s="8" t="inlineStr">
        <is>
          <t>Kohl's</t>
        </is>
      </c>
      <c r="C39" s="8" t="inlineStr">
        <is>
          <t>Southwest</t>
        </is>
      </c>
      <c r="D39" s="8" t="inlineStr">
        <is>
          <t>New Mexico</t>
        </is>
      </c>
      <c r="E39" s="8" t="inlineStr">
        <is>
          <t>Women's Street Footwear</t>
        </is>
      </c>
      <c r="F39" s="9" t="n">
        <v>31.16</v>
      </c>
      <c r="G39" s="10" t="n">
        <v>204</v>
      </c>
      <c r="H39" s="9" t="n">
        <v>6356.64</v>
      </c>
      <c r="I39" s="9" t="n">
        <v>2738.44</v>
      </c>
      <c r="J39" s="11" t="n">
        <v>0.4308</v>
      </c>
      <c r="K39" s="8" t="inlineStr">
        <is>
          <t>Outlet</t>
        </is>
      </c>
    </row>
    <row r="40">
      <c r="A40" s="2" t="n">
        <v>44638</v>
      </c>
      <c r="B40" s="3" t="inlineStr">
        <is>
          <t>West Gear</t>
        </is>
      </c>
      <c r="C40" s="3" t="inlineStr">
        <is>
          <t>Northeast</t>
        </is>
      </c>
      <c r="D40" s="3" t="inlineStr">
        <is>
          <t>Massachusetts</t>
        </is>
      </c>
      <c r="E40" s="3" t="inlineStr">
        <is>
          <t>Men's Apparel</t>
        </is>
      </c>
      <c r="F40" s="4" t="n">
        <v>81.56999999999999</v>
      </c>
      <c r="G40" s="5" t="n">
        <v>135</v>
      </c>
      <c r="H40" s="4" t="n">
        <v>11011.95</v>
      </c>
      <c r="I40" s="4" t="n">
        <v>2289.38</v>
      </c>
      <c r="J40" s="6" t="n">
        <v>0.2079</v>
      </c>
      <c r="K40" s="3" t="inlineStr">
        <is>
          <t>In-store</t>
        </is>
      </c>
    </row>
    <row r="41">
      <c r="A41" s="7" t="n">
        <v>43989</v>
      </c>
      <c r="B41" s="8" t="inlineStr">
        <is>
          <t>Sports Direct</t>
        </is>
      </c>
      <c r="C41" s="8" t="inlineStr">
        <is>
          <t>Southeast</t>
        </is>
      </c>
      <c r="D41" s="8" t="inlineStr">
        <is>
          <t>Florida</t>
        </is>
      </c>
      <c r="E41" s="8" t="inlineStr">
        <is>
          <t>Men's Apparel</t>
        </is>
      </c>
      <c r="F41" s="9" t="n">
        <v>146.86</v>
      </c>
      <c r="G41" s="10" t="n">
        <v>1584</v>
      </c>
      <c r="H41" s="9" t="n">
        <v>232626.24</v>
      </c>
      <c r="I41" s="9" t="n">
        <v>35847.7</v>
      </c>
      <c r="J41" s="11" t="n">
        <v>0.1541</v>
      </c>
      <c r="K41" s="8" t="inlineStr">
        <is>
          <t>Online</t>
        </is>
      </c>
    </row>
    <row r="42">
      <c r="A42" s="2" t="n">
        <v>43916</v>
      </c>
      <c r="B42" s="3" t="inlineStr">
        <is>
          <t>Foot Locker</t>
        </is>
      </c>
      <c r="C42" s="3" t="inlineStr">
        <is>
          <t>Southeast</t>
        </is>
      </c>
      <c r="D42" s="3" t="inlineStr">
        <is>
          <t>Virginia</t>
        </is>
      </c>
      <c r="E42" s="3" t="inlineStr">
        <is>
          <t>Women's Athletic Footwear</t>
        </is>
      </c>
      <c r="F42" s="4" t="n">
        <v>140.94</v>
      </c>
      <c r="G42" s="5" t="n">
        <v>1652</v>
      </c>
      <c r="H42" s="4" t="n">
        <v>232832.88</v>
      </c>
      <c r="I42" s="4" t="n">
        <v>99140.24000000001</v>
      </c>
      <c r="J42" s="6" t="n">
        <v>0.4258</v>
      </c>
      <c r="K42" s="3" t="inlineStr">
        <is>
          <t>Outlet</t>
        </is>
      </c>
    </row>
    <row r="43">
      <c r="A43" s="7" t="n">
        <v>44921</v>
      </c>
      <c r="B43" s="8" t="inlineStr">
        <is>
          <t>Amazon</t>
        </is>
      </c>
      <c r="C43" s="8" t="inlineStr">
        <is>
          <t>Southeast</t>
        </is>
      </c>
      <c r="D43" s="8" t="inlineStr">
        <is>
          <t>North Carolina</t>
        </is>
      </c>
      <c r="E43" s="8" t="inlineStr">
        <is>
          <t>Women's Apparel</t>
        </is>
      </c>
      <c r="F43" s="9" t="n">
        <v>75.91</v>
      </c>
      <c r="G43" s="10" t="n">
        <v>129</v>
      </c>
      <c r="H43" s="9" t="n">
        <v>9792.389999999999</v>
      </c>
      <c r="I43" s="9" t="n">
        <v>3921.85</v>
      </c>
      <c r="J43" s="11" t="n">
        <v>0.4005</v>
      </c>
      <c r="K43" s="8" t="inlineStr">
        <is>
          <t>In-store</t>
        </is>
      </c>
    </row>
    <row r="44">
      <c r="A44" s="2" t="n">
        <v>43948</v>
      </c>
      <c r="B44" s="3" t="inlineStr">
        <is>
          <t>Sports Direct</t>
        </is>
      </c>
      <c r="C44" s="3" t="inlineStr">
        <is>
          <t>Southwest</t>
        </is>
      </c>
      <c r="D44" s="3" t="inlineStr">
        <is>
          <t>Nevada</t>
        </is>
      </c>
      <c r="E44" s="3" t="inlineStr">
        <is>
          <t>Women's Athletic Footwear</t>
        </is>
      </c>
      <c r="F44" s="4" t="n">
        <v>32.84</v>
      </c>
      <c r="G44" s="5" t="n">
        <v>445</v>
      </c>
      <c r="H44" s="4" t="n">
        <v>14613.8</v>
      </c>
      <c r="I44" s="4" t="n">
        <v>3500.01</v>
      </c>
      <c r="J44" s="6" t="n">
        <v>0.2395</v>
      </c>
      <c r="K44" s="3" t="inlineStr">
        <is>
          <t>In-store</t>
        </is>
      </c>
    </row>
    <row r="45">
      <c r="A45" s="7" t="n">
        <v>44252</v>
      </c>
      <c r="B45" s="8" t="inlineStr">
        <is>
          <t>Kohl's</t>
        </is>
      </c>
      <c r="C45" s="8" t="inlineStr">
        <is>
          <t>Midwest</t>
        </is>
      </c>
      <c r="D45" s="8" t="inlineStr">
        <is>
          <t>Michigan</t>
        </is>
      </c>
      <c r="E45" s="8" t="inlineStr">
        <is>
          <t>Men's Apparel</t>
        </is>
      </c>
      <c r="F45" s="9" t="n">
        <v>111.54</v>
      </c>
      <c r="G45" s="10" t="n">
        <v>1777</v>
      </c>
      <c r="H45" s="9" t="n">
        <v>198206.58</v>
      </c>
      <c r="I45" s="9" t="n">
        <v>57024.03</v>
      </c>
      <c r="J45" s="11" t="n">
        <v>0.2877</v>
      </c>
      <c r="K45" s="8" t="inlineStr">
        <is>
          <t>Online</t>
        </is>
      </c>
    </row>
    <row r="46">
      <c r="A46" s="2" t="n">
        <v>43870</v>
      </c>
      <c r="B46" s="3" t="inlineStr">
        <is>
          <t>Sports Direct</t>
        </is>
      </c>
      <c r="C46" s="3" t="inlineStr">
        <is>
          <t>Southeast</t>
        </is>
      </c>
      <c r="D46" s="3" t="inlineStr">
        <is>
          <t>Tennessee</t>
        </is>
      </c>
      <c r="E46" s="3" t="inlineStr">
        <is>
          <t>Men's Street Footwear</t>
        </is>
      </c>
      <c r="F46" s="4" t="n">
        <v>101.59</v>
      </c>
      <c r="G46" s="5" t="n">
        <v>757</v>
      </c>
      <c r="H46" s="4" t="n">
        <v>76903.63</v>
      </c>
      <c r="I46" s="4" t="n">
        <v>27300.79</v>
      </c>
      <c r="J46" s="6" t="n">
        <v>0.355</v>
      </c>
      <c r="K46" s="3" t="inlineStr">
        <is>
          <t>In-store</t>
        </is>
      </c>
    </row>
    <row r="47">
      <c r="A47" s="7" t="n">
        <v>44397</v>
      </c>
      <c r="B47" s="8" t="inlineStr">
        <is>
          <t>Walmart</t>
        </is>
      </c>
      <c r="C47" s="8" t="inlineStr">
        <is>
          <t>West</t>
        </is>
      </c>
      <c r="D47" s="8" t="inlineStr">
        <is>
          <t>California</t>
        </is>
      </c>
      <c r="E47" s="8" t="inlineStr">
        <is>
          <t>Men's Apparel</t>
        </is>
      </c>
      <c r="F47" s="9" t="n">
        <v>60.57</v>
      </c>
      <c r="G47" s="10" t="n">
        <v>1501</v>
      </c>
      <c r="H47" s="9" t="n">
        <v>90915.57000000001</v>
      </c>
      <c r="I47" s="9" t="n">
        <v>22965.27</v>
      </c>
      <c r="J47" s="11" t="n">
        <v>0.2526</v>
      </c>
      <c r="K47" s="8" t="inlineStr">
        <is>
          <t>In-store</t>
        </is>
      </c>
    </row>
    <row r="48">
      <c r="A48" s="2" t="n">
        <v>44826</v>
      </c>
      <c r="B48" s="3" t="inlineStr">
        <is>
          <t>Walmart</t>
        </is>
      </c>
      <c r="C48" s="3" t="inlineStr">
        <is>
          <t>Southeast</t>
        </is>
      </c>
      <c r="D48" s="3" t="inlineStr">
        <is>
          <t>North Carolina</t>
        </is>
      </c>
      <c r="E48" s="3" t="inlineStr">
        <is>
          <t>Men's Street Footwear</t>
        </is>
      </c>
      <c r="F48" s="4" t="n">
        <v>140.49</v>
      </c>
      <c r="G48" s="5" t="n">
        <v>1326</v>
      </c>
      <c r="H48" s="4" t="n">
        <v>186289.74</v>
      </c>
      <c r="I48" s="4" t="n">
        <v>39102.22</v>
      </c>
      <c r="J48" s="6" t="n">
        <v>0.2099</v>
      </c>
      <c r="K48" s="3" t="inlineStr">
        <is>
          <t>Outlet</t>
        </is>
      </c>
    </row>
    <row r="49">
      <c r="A49" s="7" t="n">
        <v>44175</v>
      </c>
      <c r="B49" s="8" t="inlineStr">
        <is>
          <t>Kohl's</t>
        </is>
      </c>
      <c r="C49" s="8" t="inlineStr">
        <is>
          <t>West</t>
        </is>
      </c>
      <c r="D49" s="8" t="inlineStr">
        <is>
          <t>Oregon</t>
        </is>
      </c>
      <c r="E49" s="8" t="inlineStr">
        <is>
          <t>Women's Street Footwear</t>
        </is>
      </c>
      <c r="F49" s="9" t="n">
        <v>78.29000000000001</v>
      </c>
      <c r="G49" s="10" t="n">
        <v>655</v>
      </c>
      <c r="H49" s="9" t="n">
        <v>51279.95</v>
      </c>
      <c r="I49" s="9" t="n">
        <v>15076.31</v>
      </c>
      <c r="J49" s="11" t="n">
        <v>0.294</v>
      </c>
      <c r="K49" s="8" t="inlineStr">
        <is>
          <t>Online</t>
        </is>
      </c>
    </row>
    <row r="50">
      <c r="A50" s="2" t="n">
        <v>44034</v>
      </c>
      <c r="B50" s="3" t="inlineStr">
        <is>
          <t>West Gear</t>
        </is>
      </c>
      <c r="C50" s="3" t="inlineStr">
        <is>
          <t>Southwest</t>
        </is>
      </c>
      <c r="D50" s="3" t="inlineStr">
        <is>
          <t>Arizona</t>
        </is>
      </c>
      <c r="E50" s="3" t="inlineStr">
        <is>
          <t>Men's Apparel</t>
        </is>
      </c>
      <c r="F50" s="4" t="n">
        <v>78.73</v>
      </c>
      <c r="G50" s="5" t="n">
        <v>1757</v>
      </c>
      <c r="H50" s="4" t="n">
        <v>138328.61</v>
      </c>
      <c r="I50" s="4" t="n">
        <v>13846.69</v>
      </c>
      <c r="J50" s="6" t="n">
        <v>0.1001</v>
      </c>
      <c r="K50" s="3" t="inlineStr">
        <is>
          <t>Online</t>
        </is>
      </c>
    </row>
    <row r="51">
      <c r="A51" s="7" t="n">
        <v>44300</v>
      </c>
      <c r="B51" s="8" t="inlineStr">
        <is>
          <t>Kohl's</t>
        </is>
      </c>
      <c r="C51" s="8" t="inlineStr">
        <is>
          <t>West</t>
        </is>
      </c>
      <c r="D51" s="8" t="inlineStr">
        <is>
          <t>Utah</t>
        </is>
      </c>
      <c r="E51" s="8" t="inlineStr">
        <is>
          <t>Men's Athletic Footwear</t>
        </is>
      </c>
      <c r="F51" s="9" t="n">
        <v>83.01000000000001</v>
      </c>
      <c r="G51" s="10" t="n">
        <v>1433</v>
      </c>
      <c r="H51" s="9" t="n">
        <v>118953.33</v>
      </c>
      <c r="I51" s="9" t="n">
        <v>20793.04</v>
      </c>
      <c r="J51" s="11" t="n">
        <v>0.1748</v>
      </c>
      <c r="K51" s="8" t="inlineStr">
        <is>
          <t>Online</t>
        </is>
      </c>
    </row>
    <row r="52">
      <c r="A52" s="2" t="n">
        <v>44536</v>
      </c>
      <c r="B52" s="3" t="inlineStr">
        <is>
          <t>West Gear</t>
        </is>
      </c>
      <c r="C52" s="3" t="inlineStr">
        <is>
          <t>Northeast</t>
        </is>
      </c>
      <c r="D52" s="3" t="inlineStr">
        <is>
          <t>Massachusetts</t>
        </is>
      </c>
      <c r="E52" s="3" t="inlineStr">
        <is>
          <t>Women's Apparel</t>
        </is>
      </c>
      <c r="F52" s="4" t="n">
        <v>104.31</v>
      </c>
      <c r="G52" s="5" t="n">
        <v>241</v>
      </c>
      <c r="H52" s="4" t="n">
        <v>25138.71</v>
      </c>
      <c r="I52" s="4" t="n">
        <v>9713.6</v>
      </c>
      <c r="J52" s="6" t="n">
        <v>0.3864</v>
      </c>
      <c r="K52" s="3" t="inlineStr">
        <is>
          <t>Outlet</t>
        </is>
      </c>
    </row>
    <row r="53">
      <c r="A53" s="7" t="n">
        <v>44145</v>
      </c>
      <c r="B53" s="8" t="inlineStr">
        <is>
          <t>Amazon</t>
        </is>
      </c>
      <c r="C53" s="8" t="inlineStr">
        <is>
          <t>Southeast</t>
        </is>
      </c>
      <c r="D53" s="8" t="inlineStr">
        <is>
          <t>Georgia</t>
        </is>
      </c>
      <c r="E53" s="8" t="inlineStr">
        <is>
          <t>Men's Street Footwear</t>
        </is>
      </c>
      <c r="F53" s="9" t="n">
        <v>59.38</v>
      </c>
      <c r="G53" s="10" t="n">
        <v>1023</v>
      </c>
      <c r="H53" s="9" t="n">
        <v>60745.74</v>
      </c>
      <c r="I53" s="9" t="n">
        <v>19068.09</v>
      </c>
      <c r="J53" s="11" t="n">
        <v>0.3139</v>
      </c>
      <c r="K53" s="8" t="inlineStr">
        <is>
          <t>In-store</t>
        </is>
      </c>
    </row>
    <row r="54">
      <c r="A54" s="2" t="n">
        <v>44057</v>
      </c>
      <c r="B54" s="3" t="inlineStr">
        <is>
          <t>Kohl's</t>
        </is>
      </c>
      <c r="C54" s="3" t="inlineStr">
        <is>
          <t>West</t>
        </is>
      </c>
      <c r="D54" s="3" t="inlineStr">
        <is>
          <t>Washington</t>
        </is>
      </c>
      <c r="E54" s="3" t="inlineStr">
        <is>
          <t>Women's Apparel</t>
        </is>
      </c>
      <c r="F54" s="4" t="n">
        <v>89.33</v>
      </c>
      <c r="G54" s="5" t="n">
        <v>549</v>
      </c>
      <c r="H54" s="4" t="n">
        <v>49042.17</v>
      </c>
      <c r="I54" s="4" t="n">
        <v>7434.79</v>
      </c>
      <c r="J54" s="6" t="n">
        <v>0.1516</v>
      </c>
      <c r="K54" s="3" t="inlineStr">
        <is>
          <t>Online</t>
        </is>
      </c>
    </row>
    <row r="55">
      <c r="A55" s="7" t="n">
        <v>44586</v>
      </c>
      <c r="B55" s="8" t="inlineStr">
        <is>
          <t>Amazon</t>
        </is>
      </c>
      <c r="C55" s="8" t="inlineStr">
        <is>
          <t>Northeast</t>
        </is>
      </c>
      <c r="D55" s="8" t="inlineStr">
        <is>
          <t>New Jersey</t>
        </is>
      </c>
      <c r="E55" s="8" t="inlineStr">
        <is>
          <t>Women's Athletic Footwear</t>
        </is>
      </c>
      <c r="F55" s="9" t="n">
        <v>92.15000000000001</v>
      </c>
      <c r="G55" s="10" t="n">
        <v>152</v>
      </c>
      <c r="H55" s="9" t="n">
        <v>14006.8</v>
      </c>
      <c r="I55" s="9" t="n">
        <v>4133.41</v>
      </c>
      <c r="J55" s="11" t="n">
        <v>0.2951</v>
      </c>
      <c r="K55" s="8" t="inlineStr">
        <is>
          <t>Outlet</t>
        </is>
      </c>
    </row>
    <row r="56">
      <c r="A56" s="2" t="n">
        <v>44048</v>
      </c>
      <c r="B56" s="3" t="inlineStr">
        <is>
          <t>West Gear</t>
        </is>
      </c>
      <c r="C56" s="3" t="inlineStr">
        <is>
          <t>Southwest</t>
        </is>
      </c>
      <c r="D56" s="3" t="inlineStr">
        <is>
          <t>New Mexico</t>
        </is>
      </c>
      <c r="E56" s="3" t="inlineStr">
        <is>
          <t>Men's Apparel</t>
        </is>
      </c>
      <c r="F56" s="4" t="n">
        <v>144</v>
      </c>
      <c r="G56" s="5" t="n">
        <v>1875</v>
      </c>
      <c r="H56" s="4" t="n">
        <v>270000</v>
      </c>
      <c r="I56" s="4" t="n">
        <v>68823</v>
      </c>
      <c r="J56" s="6" t="n">
        <v>0.2549</v>
      </c>
      <c r="K56" s="3" t="inlineStr">
        <is>
          <t>Online</t>
        </is>
      </c>
    </row>
    <row r="57">
      <c r="A57" s="7" t="n">
        <v>44818</v>
      </c>
      <c r="B57" s="8" t="inlineStr">
        <is>
          <t>Amazon</t>
        </is>
      </c>
      <c r="C57" s="8" t="inlineStr">
        <is>
          <t>West</t>
        </is>
      </c>
      <c r="D57" s="8" t="inlineStr">
        <is>
          <t>Colorado</t>
        </is>
      </c>
      <c r="E57" s="8" t="inlineStr">
        <is>
          <t>Women's Apparel</t>
        </is>
      </c>
      <c r="F57" s="9" t="n">
        <v>84.01000000000001</v>
      </c>
      <c r="G57" s="10" t="n">
        <v>1589</v>
      </c>
      <c r="H57" s="9" t="n">
        <v>133491.89</v>
      </c>
      <c r="I57" s="9" t="n">
        <v>24896.24</v>
      </c>
      <c r="J57" s="11" t="n">
        <v>0.1865</v>
      </c>
      <c r="K57" s="8" t="inlineStr">
        <is>
          <t>Online</t>
        </is>
      </c>
    </row>
    <row r="58">
      <c r="A58" s="2" t="n">
        <v>44706</v>
      </c>
      <c r="B58" s="3" t="inlineStr">
        <is>
          <t>Kohl's</t>
        </is>
      </c>
      <c r="C58" s="3" t="inlineStr">
        <is>
          <t>West</t>
        </is>
      </c>
      <c r="D58" s="3" t="inlineStr">
        <is>
          <t>Colorado</t>
        </is>
      </c>
      <c r="E58" s="3" t="inlineStr">
        <is>
          <t>Women's Athletic Footwear</t>
        </is>
      </c>
      <c r="F58" s="4" t="n">
        <v>82.78</v>
      </c>
      <c r="G58" s="5" t="n">
        <v>1511</v>
      </c>
      <c r="H58" s="4" t="n">
        <v>125080.58</v>
      </c>
      <c r="I58" s="4" t="n">
        <v>25016.12</v>
      </c>
      <c r="J58" s="6" t="n">
        <v>0.2</v>
      </c>
      <c r="K58" s="3" t="inlineStr">
        <is>
          <t>Online</t>
        </is>
      </c>
    </row>
    <row r="59">
      <c r="A59" s="7" t="n">
        <v>44358</v>
      </c>
      <c r="B59" s="8" t="inlineStr">
        <is>
          <t>Amazon</t>
        </is>
      </c>
      <c r="C59" s="8" t="inlineStr">
        <is>
          <t>West</t>
        </is>
      </c>
      <c r="D59" s="8" t="inlineStr">
        <is>
          <t>California</t>
        </is>
      </c>
      <c r="E59" s="8" t="inlineStr">
        <is>
          <t>Women's Athletic Footwear</t>
        </is>
      </c>
      <c r="F59" s="9" t="n">
        <v>75.95999999999999</v>
      </c>
      <c r="G59" s="10" t="n">
        <v>362</v>
      </c>
      <c r="H59" s="9" t="n">
        <v>27497.52</v>
      </c>
      <c r="I59" s="9" t="n">
        <v>9547.139999999999</v>
      </c>
      <c r="J59" s="11" t="n">
        <v>0.3472</v>
      </c>
      <c r="K59" s="8" t="inlineStr">
        <is>
          <t>In-store</t>
        </is>
      </c>
    </row>
    <row r="60">
      <c r="A60" s="2" t="n">
        <v>44026</v>
      </c>
      <c r="B60" s="3" t="inlineStr">
        <is>
          <t>Walmart</t>
        </is>
      </c>
      <c r="C60" s="3" t="inlineStr">
        <is>
          <t>Midwest</t>
        </is>
      </c>
      <c r="D60" s="3" t="inlineStr">
        <is>
          <t>Minnesota</t>
        </is>
      </c>
      <c r="E60" s="3" t="inlineStr">
        <is>
          <t>Women's Street Footwear</t>
        </is>
      </c>
      <c r="F60" s="4" t="n">
        <v>54.82</v>
      </c>
      <c r="G60" s="5" t="n">
        <v>910</v>
      </c>
      <c r="H60" s="4" t="n">
        <v>49886.2</v>
      </c>
      <c r="I60" s="4" t="n">
        <v>11788.11</v>
      </c>
      <c r="J60" s="6" t="n">
        <v>0.2363</v>
      </c>
      <c r="K60" s="3" t="inlineStr">
        <is>
          <t>In-store</t>
        </is>
      </c>
    </row>
    <row r="61">
      <c r="A61" s="7" t="n">
        <v>44896</v>
      </c>
      <c r="B61" s="8" t="inlineStr">
        <is>
          <t>Walmart</t>
        </is>
      </c>
      <c r="C61" s="8" t="inlineStr">
        <is>
          <t>West</t>
        </is>
      </c>
      <c r="D61" s="8" t="inlineStr">
        <is>
          <t>Colorado</t>
        </is>
      </c>
      <c r="E61" s="8" t="inlineStr">
        <is>
          <t>Men's Street Footwear</t>
        </is>
      </c>
      <c r="F61" s="9" t="n">
        <v>65.83</v>
      </c>
      <c r="G61" s="10" t="n">
        <v>848</v>
      </c>
      <c r="H61" s="9" t="n">
        <v>55823.84</v>
      </c>
      <c r="I61" s="9" t="n">
        <v>22256.97</v>
      </c>
      <c r="J61" s="11" t="n">
        <v>0.3987</v>
      </c>
      <c r="K61" s="8" t="inlineStr">
        <is>
          <t>Online</t>
        </is>
      </c>
    </row>
    <row r="62">
      <c r="A62" s="2" t="n">
        <v>44463</v>
      </c>
      <c r="B62" s="3" t="inlineStr">
        <is>
          <t>Amazon</t>
        </is>
      </c>
      <c r="C62" s="3" t="inlineStr">
        <is>
          <t>West</t>
        </is>
      </c>
      <c r="D62" s="3" t="inlineStr">
        <is>
          <t>Utah</t>
        </is>
      </c>
      <c r="E62" s="3" t="inlineStr">
        <is>
          <t>Women's Street Footwear</t>
        </is>
      </c>
      <c r="F62" s="4" t="n">
        <v>62.75</v>
      </c>
      <c r="G62" s="5" t="n">
        <v>1044</v>
      </c>
      <c r="H62" s="4" t="n">
        <v>65511</v>
      </c>
      <c r="I62" s="4" t="n">
        <v>7219.31</v>
      </c>
      <c r="J62" s="6" t="n">
        <v>0.1102</v>
      </c>
      <c r="K62" s="3" t="inlineStr">
        <is>
          <t>In-store</t>
        </is>
      </c>
    </row>
    <row r="63">
      <c r="A63" s="7" t="n">
        <v>44522</v>
      </c>
      <c r="B63" s="8" t="inlineStr">
        <is>
          <t>Target</t>
        </is>
      </c>
      <c r="C63" s="8" t="inlineStr">
        <is>
          <t>Southwest</t>
        </is>
      </c>
      <c r="D63" s="8" t="inlineStr">
        <is>
          <t>Arizona</t>
        </is>
      </c>
      <c r="E63" s="8" t="inlineStr">
        <is>
          <t>Women's Street Footwear</t>
        </is>
      </c>
      <c r="F63" s="9" t="n">
        <v>147.69</v>
      </c>
      <c r="G63" s="10" t="n">
        <v>1143</v>
      </c>
      <c r="H63" s="9" t="n">
        <v>168809.67</v>
      </c>
      <c r="I63" s="9" t="n">
        <v>18467.78</v>
      </c>
      <c r="J63" s="11" t="n">
        <v>0.1094</v>
      </c>
      <c r="K63" s="8" t="inlineStr">
        <is>
          <t>In-store</t>
        </is>
      </c>
    </row>
    <row r="64">
      <c r="A64" s="2" t="n">
        <v>44488</v>
      </c>
      <c r="B64" s="3" t="inlineStr">
        <is>
          <t>Kohl's</t>
        </is>
      </c>
      <c r="C64" s="3" t="inlineStr">
        <is>
          <t>Northeast</t>
        </is>
      </c>
      <c r="D64" s="3" t="inlineStr">
        <is>
          <t>New York</t>
        </is>
      </c>
      <c r="E64" s="3" t="inlineStr">
        <is>
          <t>Women's Street Footwear</t>
        </is>
      </c>
      <c r="F64" s="4" t="n">
        <v>134.02</v>
      </c>
      <c r="G64" s="5" t="n">
        <v>422</v>
      </c>
      <c r="H64" s="4" t="n">
        <v>56556.44</v>
      </c>
      <c r="I64" s="4" t="n">
        <v>6651.04</v>
      </c>
      <c r="J64" s="6" t="n">
        <v>0.1176</v>
      </c>
      <c r="K64" s="3" t="inlineStr">
        <is>
          <t>In-store</t>
        </is>
      </c>
    </row>
    <row r="65">
      <c r="A65" s="7" t="n">
        <v>44354</v>
      </c>
      <c r="B65" s="8" t="inlineStr">
        <is>
          <t>Sports Direct</t>
        </is>
      </c>
      <c r="C65" s="8" t="inlineStr">
        <is>
          <t>Southwest</t>
        </is>
      </c>
      <c r="D65" s="8" t="inlineStr">
        <is>
          <t>Nevada</t>
        </is>
      </c>
      <c r="E65" s="8" t="inlineStr">
        <is>
          <t>Women's Street Footwear</t>
        </is>
      </c>
      <c r="F65" s="9" t="n">
        <v>120.24</v>
      </c>
      <c r="G65" s="10" t="n">
        <v>1753</v>
      </c>
      <c r="H65" s="9" t="n">
        <v>210780.72</v>
      </c>
      <c r="I65" s="9" t="n">
        <v>52168.23</v>
      </c>
      <c r="J65" s="11" t="n">
        <v>0.2475</v>
      </c>
      <c r="K65" s="8" t="inlineStr">
        <is>
          <t>Online</t>
        </is>
      </c>
    </row>
    <row r="66">
      <c r="A66" s="2" t="n">
        <v>44044</v>
      </c>
      <c r="B66" s="3" t="inlineStr">
        <is>
          <t>Sports Direct</t>
        </is>
      </c>
      <c r="C66" s="3" t="inlineStr">
        <is>
          <t>West</t>
        </is>
      </c>
      <c r="D66" s="3" t="inlineStr">
        <is>
          <t>California</t>
        </is>
      </c>
      <c r="E66" s="3" t="inlineStr">
        <is>
          <t>Women's Athletic Footwear</t>
        </is>
      </c>
      <c r="F66" s="4" t="n">
        <v>38.23</v>
      </c>
      <c r="G66" s="5" t="n">
        <v>1384</v>
      </c>
      <c r="H66" s="4" t="n">
        <v>52910.32</v>
      </c>
      <c r="I66" s="4" t="n">
        <v>6037.07</v>
      </c>
      <c r="J66" s="6" t="n">
        <v>0.1141</v>
      </c>
      <c r="K66" s="3" t="inlineStr">
        <is>
          <t>Outlet</t>
        </is>
      </c>
    </row>
    <row r="67">
      <c r="A67" s="7" t="n">
        <v>43928</v>
      </c>
      <c r="B67" s="8" t="inlineStr">
        <is>
          <t>Amazon</t>
        </is>
      </c>
      <c r="C67" s="8" t="inlineStr">
        <is>
          <t>Northeast</t>
        </is>
      </c>
      <c r="D67" s="8" t="inlineStr">
        <is>
          <t>Connecticut</t>
        </is>
      </c>
      <c r="E67" s="8" t="inlineStr">
        <is>
          <t>Women's Athletic Footwear</t>
        </is>
      </c>
      <c r="F67" s="9" t="n">
        <v>86.83</v>
      </c>
      <c r="G67" s="10" t="n">
        <v>284</v>
      </c>
      <c r="H67" s="9" t="n">
        <v>24659.72</v>
      </c>
      <c r="I67" s="9" t="n">
        <v>7333.8</v>
      </c>
      <c r="J67" s="11" t="n">
        <v>0.2974</v>
      </c>
      <c r="K67" s="8" t="inlineStr">
        <is>
          <t>In-store</t>
        </is>
      </c>
    </row>
    <row r="68">
      <c r="A68" s="2" t="n">
        <v>44066</v>
      </c>
      <c r="B68" s="3" t="inlineStr">
        <is>
          <t>Amazon</t>
        </is>
      </c>
      <c r="C68" s="3" t="inlineStr">
        <is>
          <t>Midwest</t>
        </is>
      </c>
      <c r="D68" s="3" t="inlineStr">
        <is>
          <t>Michigan</t>
        </is>
      </c>
      <c r="E68" s="3" t="inlineStr">
        <is>
          <t>Men's Apparel</t>
        </is>
      </c>
      <c r="F68" s="4" t="n">
        <v>145.65</v>
      </c>
      <c r="G68" s="5" t="n">
        <v>1521</v>
      </c>
      <c r="H68" s="4" t="n">
        <v>221533.65</v>
      </c>
      <c r="I68" s="4" t="n">
        <v>31036.86</v>
      </c>
      <c r="J68" s="6" t="n">
        <v>0.1401</v>
      </c>
      <c r="K68" s="3" t="inlineStr">
        <is>
          <t>Outlet</t>
        </is>
      </c>
    </row>
    <row r="69">
      <c r="A69" s="7" t="n">
        <v>43955</v>
      </c>
      <c r="B69" s="8" t="inlineStr">
        <is>
          <t>Sports Direct</t>
        </is>
      </c>
      <c r="C69" s="8" t="inlineStr">
        <is>
          <t>West</t>
        </is>
      </c>
      <c r="D69" s="8" t="inlineStr">
        <is>
          <t>California</t>
        </is>
      </c>
      <c r="E69" s="8" t="inlineStr">
        <is>
          <t>Men's Apparel</t>
        </is>
      </c>
      <c r="F69" s="9" t="n">
        <v>138.96</v>
      </c>
      <c r="G69" s="10" t="n">
        <v>818</v>
      </c>
      <c r="H69" s="9" t="n">
        <v>113669.28</v>
      </c>
      <c r="I69" s="9" t="n">
        <v>27144.22</v>
      </c>
      <c r="J69" s="11" t="n">
        <v>0.2388</v>
      </c>
      <c r="K69" s="8" t="inlineStr">
        <is>
          <t>Outlet</t>
        </is>
      </c>
    </row>
    <row r="70">
      <c r="A70" s="2" t="n">
        <v>44654</v>
      </c>
      <c r="B70" s="3" t="inlineStr">
        <is>
          <t>Foot Locker</t>
        </is>
      </c>
      <c r="C70" s="3" t="inlineStr">
        <is>
          <t>West</t>
        </is>
      </c>
      <c r="D70" s="3" t="inlineStr">
        <is>
          <t>Washington</t>
        </is>
      </c>
      <c r="E70" s="3" t="inlineStr">
        <is>
          <t>Women's Apparel</t>
        </is>
      </c>
      <c r="F70" s="4" t="n">
        <v>132.04</v>
      </c>
      <c r="G70" s="5" t="n">
        <v>1279</v>
      </c>
      <c r="H70" s="4" t="n">
        <v>168879.16</v>
      </c>
      <c r="I70" s="4" t="n">
        <v>64494.95</v>
      </c>
      <c r="J70" s="6" t="n">
        <v>0.3819</v>
      </c>
      <c r="K70" s="3" t="inlineStr">
        <is>
          <t>Online</t>
        </is>
      </c>
    </row>
    <row r="71">
      <c r="A71" s="7" t="n">
        <v>44573</v>
      </c>
      <c r="B71" s="8" t="inlineStr">
        <is>
          <t>Kohl's</t>
        </is>
      </c>
      <c r="C71" s="8" t="inlineStr">
        <is>
          <t>West</t>
        </is>
      </c>
      <c r="D71" s="8" t="inlineStr">
        <is>
          <t>Colorado</t>
        </is>
      </c>
      <c r="E71" s="8" t="inlineStr">
        <is>
          <t>Men's Athletic Footwear</t>
        </is>
      </c>
      <c r="F71" s="9" t="n">
        <v>90.72</v>
      </c>
      <c r="G71" s="10" t="n">
        <v>748</v>
      </c>
      <c r="H71" s="9" t="n">
        <v>67858.56</v>
      </c>
      <c r="I71" s="9" t="n">
        <v>7084.43</v>
      </c>
      <c r="J71" s="11" t="n">
        <v>0.1044</v>
      </c>
      <c r="K71" s="8" t="inlineStr">
        <is>
          <t>In-store</t>
        </is>
      </c>
    </row>
    <row r="72">
      <c r="A72" s="2" t="n">
        <v>44412</v>
      </c>
      <c r="B72" s="3" t="inlineStr">
        <is>
          <t>Kohl's</t>
        </is>
      </c>
      <c r="C72" s="3" t="inlineStr">
        <is>
          <t>Southwest</t>
        </is>
      </c>
      <c r="D72" s="3" t="inlineStr">
        <is>
          <t>Nevada</t>
        </is>
      </c>
      <c r="E72" s="3" t="inlineStr">
        <is>
          <t>Women's Street Footwear</t>
        </is>
      </c>
      <c r="F72" s="4" t="n">
        <v>48.36</v>
      </c>
      <c r="G72" s="5" t="n">
        <v>410</v>
      </c>
      <c r="H72" s="4" t="n">
        <v>19827.6</v>
      </c>
      <c r="I72" s="4" t="n">
        <v>7074.49</v>
      </c>
      <c r="J72" s="6" t="n">
        <v>0.3568</v>
      </c>
      <c r="K72" s="3" t="inlineStr">
        <is>
          <t>Outlet</t>
        </is>
      </c>
    </row>
    <row r="73">
      <c r="A73" s="7" t="n">
        <v>44701</v>
      </c>
      <c r="B73" s="8" t="inlineStr">
        <is>
          <t>Walmart</t>
        </is>
      </c>
      <c r="C73" s="8" t="inlineStr">
        <is>
          <t>West</t>
        </is>
      </c>
      <c r="D73" s="8" t="inlineStr">
        <is>
          <t>Colorado</t>
        </is>
      </c>
      <c r="E73" s="8" t="inlineStr">
        <is>
          <t>Women's Street Footwear</t>
        </is>
      </c>
      <c r="F73" s="9" t="n">
        <v>101.1</v>
      </c>
      <c r="G73" s="10" t="n">
        <v>710</v>
      </c>
      <c r="H73" s="9" t="n">
        <v>71781</v>
      </c>
      <c r="I73" s="9" t="n">
        <v>28576.02</v>
      </c>
      <c r="J73" s="11" t="n">
        <v>0.3981</v>
      </c>
      <c r="K73" s="8" t="inlineStr">
        <is>
          <t>Outlet</t>
        </is>
      </c>
    </row>
    <row r="74">
      <c r="A74" s="2" t="n">
        <v>43966</v>
      </c>
      <c r="B74" s="3" t="inlineStr">
        <is>
          <t>West Gear</t>
        </is>
      </c>
      <c r="C74" s="3" t="inlineStr">
        <is>
          <t>Southeast</t>
        </is>
      </c>
      <c r="D74" s="3" t="inlineStr">
        <is>
          <t>Virginia</t>
        </is>
      </c>
      <c r="E74" s="3" t="inlineStr">
        <is>
          <t>Men's Apparel</t>
        </is>
      </c>
      <c r="F74" s="4" t="n">
        <v>75.48</v>
      </c>
      <c r="G74" s="5" t="n">
        <v>108</v>
      </c>
      <c r="H74" s="4" t="n">
        <v>8151.84</v>
      </c>
      <c r="I74" s="4" t="n">
        <v>2225.45</v>
      </c>
      <c r="J74" s="6" t="n">
        <v>0.273</v>
      </c>
      <c r="K74" s="3" t="inlineStr">
        <is>
          <t>Outlet</t>
        </is>
      </c>
    </row>
    <row r="75">
      <c r="A75" s="7" t="n">
        <v>44271</v>
      </c>
      <c r="B75" s="8" t="inlineStr">
        <is>
          <t>Target</t>
        </is>
      </c>
      <c r="C75" s="8" t="inlineStr">
        <is>
          <t>Southeast</t>
        </is>
      </c>
      <c r="D75" s="8" t="inlineStr">
        <is>
          <t>North Carolina</t>
        </is>
      </c>
      <c r="E75" s="8" t="inlineStr">
        <is>
          <t>Men's Athletic Footwear</t>
        </is>
      </c>
      <c r="F75" s="9" t="n">
        <v>63.56</v>
      </c>
      <c r="G75" s="10" t="n">
        <v>1270</v>
      </c>
      <c r="H75" s="9" t="n">
        <v>80721.2</v>
      </c>
      <c r="I75" s="9" t="n">
        <v>27881.1</v>
      </c>
      <c r="J75" s="11" t="n">
        <v>0.3454</v>
      </c>
      <c r="K75" s="8" t="inlineStr">
        <is>
          <t>Online</t>
        </is>
      </c>
    </row>
    <row r="76">
      <c r="A76" s="2" t="n">
        <v>44440</v>
      </c>
      <c r="B76" s="3" t="inlineStr">
        <is>
          <t>Foot Locker</t>
        </is>
      </c>
      <c r="C76" s="3" t="inlineStr">
        <is>
          <t>West</t>
        </is>
      </c>
      <c r="D76" s="3" t="inlineStr">
        <is>
          <t>Washington</t>
        </is>
      </c>
      <c r="E76" s="3" t="inlineStr">
        <is>
          <t>Women's Athletic Footwear</t>
        </is>
      </c>
      <c r="F76" s="4" t="n">
        <v>78.77</v>
      </c>
      <c r="G76" s="5" t="n">
        <v>1187</v>
      </c>
      <c r="H76" s="4" t="n">
        <v>93499.99000000001</v>
      </c>
      <c r="I76" s="4" t="n">
        <v>34164.9</v>
      </c>
      <c r="J76" s="6" t="n">
        <v>0.3654</v>
      </c>
      <c r="K76" s="3" t="inlineStr">
        <is>
          <t>Outlet</t>
        </is>
      </c>
    </row>
    <row r="77">
      <c r="A77" s="7" t="n">
        <v>44794</v>
      </c>
      <c r="B77" s="8" t="inlineStr">
        <is>
          <t>Target</t>
        </is>
      </c>
      <c r="C77" s="8" t="inlineStr">
        <is>
          <t>Southwest</t>
        </is>
      </c>
      <c r="D77" s="8" t="inlineStr">
        <is>
          <t>Oklahoma</t>
        </is>
      </c>
      <c r="E77" s="8" t="inlineStr">
        <is>
          <t>Men's Street Footwear</t>
        </is>
      </c>
      <c r="F77" s="9" t="n">
        <v>65.31</v>
      </c>
      <c r="G77" s="10" t="n">
        <v>878</v>
      </c>
      <c r="H77" s="9" t="n">
        <v>57342.18</v>
      </c>
      <c r="I77" s="9" t="n">
        <v>19616.76</v>
      </c>
      <c r="J77" s="11" t="n">
        <v>0.3421</v>
      </c>
      <c r="K77" s="8" t="inlineStr">
        <is>
          <t>In-store</t>
        </is>
      </c>
    </row>
    <row r="78">
      <c r="A78" s="2" t="n">
        <v>44519</v>
      </c>
      <c r="B78" s="3" t="inlineStr">
        <is>
          <t>West Gear</t>
        </is>
      </c>
      <c r="C78" s="3" t="inlineStr">
        <is>
          <t>Midwest</t>
        </is>
      </c>
      <c r="D78" s="3" t="inlineStr">
        <is>
          <t>Wisconsin</t>
        </is>
      </c>
      <c r="E78" s="3" t="inlineStr">
        <is>
          <t>Men's Apparel</t>
        </is>
      </c>
      <c r="F78" s="4" t="n">
        <v>81.06</v>
      </c>
      <c r="G78" s="5" t="n">
        <v>1577</v>
      </c>
      <c r="H78" s="4" t="n">
        <v>127831.62</v>
      </c>
      <c r="I78" s="4" t="n">
        <v>37403.53</v>
      </c>
      <c r="J78" s="6" t="n">
        <v>0.2926</v>
      </c>
      <c r="K78" s="3" t="inlineStr">
        <is>
          <t>Online</t>
        </is>
      </c>
    </row>
    <row r="79">
      <c r="A79" s="7" t="n">
        <v>44545</v>
      </c>
      <c r="B79" s="8" t="inlineStr">
        <is>
          <t>Sports Direct</t>
        </is>
      </c>
      <c r="C79" s="8" t="inlineStr">
        <is>
          <t>Midwest</t>
        </is>
      </c>
      <c r="D79" s="8" t="inlineStr">
        <is>
          <t>Michigan</t>
        </is>
      </c>
      <c r="E79" s="8" t="inlineStr">
        <is>
          <t>Women's Athletic Footwear</t>
        </is>
      </c>
      <c r="F79" s="9" t="n">
        <v>116.55</v>
      </c>
      <c r="G79" s="10" t="n">
        <v>696</v>
      </c>
      <c r="H79" s="9" t="n">
        <v>81118.8</v>
      </c>
      <c r="I79" s="9" t="n">
        <v>11502.65</v>
      </c>
      <c r="J79" s="11" t="n">
        <v>0.1418</v>
      </c>
      <c r="K79" s="8" t="inlineStr">
        <is>
          <t>In-store</t>
        </is>
      </c>
    </row>
    <row r="80">
      <c r="A80" s="2" t="n">
        <v>44901</v>
      </c>
      <c r="B80" s="3" t="inlineStr">
        <is>
          <t>Kohl's</t>
        </is>
      </c>
      <c r="C80" s="3" t="inlineStr">
        <is>
          <t>Southeast</t>
        </is>
      </c>
      <c r="D80" s="3" t="inlineStr">
        <is>
          <t>Georgia</t>
        </is>
      </c>
      <c r="E80" s="3" t="inlineStr">
        <is>
          <t>Women's Street Footwear</t>
        </is>
      </c>
      <c r="F80" s="4" t="n">
        <v>116.95</v>
      </c>
      <c r="G80" s="5" t="n">
        <v>1606</v>
      </c>
      <c r="H80" s="4" t="n">
        <v>187821.7</v>
      </c>
      <c r="I80" s="4" t="n">
        <v>53266.23</v>
      </c>
      <c r="J80" s="6" t="n">
        <v>0.2836</v>
      </c>
      <c r="K80" s="3" t="inlineStr">
        <is>
          <t>Online</t>
        </is>
      </c>
    </row>
    <row r="81">
      <c r="A81" s="7" t="n">
        <v>44254</v>
      </c>
      <c r="B81" s="8" t="inlineStr">
        <is>
          <t>Amazon</t>
        </is>
      </c>
      <c r="C81" s="8" t="inlineStr">
        <is>
          <t>Southeast</t>
        </is>
      </c>
      <c r="D81" s="8" t="inlineStr">
        <is>
          <t>North Carolina</t>
        </is>
      </c>
      <c r="E81" s="8" t="inlineStr">
        <is>
          <t>Men's Athletic Footwear</t>
        </is>
      </c>
      <c r="F81" s="9" t="n">
        <v>66.27</v>
      </c>
      <c r="G81" s="10" t="n">
        <v>1500</v>
      </c>
      <c r="H81" s="9" t="n">
        <v>99405</v>
      </c>
      <c r="I81" s="9" t="n">
        <v>28519.29</v>
      </c>
      <c r="J81" s="11" t="n">
        <v>0.2869</v>
      </c>
      <c r="K81" s="8" t="inlineStr">
        <is>
          <t>In-store</t>
        </is>
      </c>
    </row>
    <row r="82">
      <c r="A82" s="2" t="n">
        <v>44198</v>
      </c>
      <c r="B82" s="3" t="inlineStr">
        <is>
          <t>Kohl's</t>
        </is>
      </c>
      <c r="C82" s="3" t="inlineStr">
        <is>
          <t>West</t>
        </is>
      </c>
      <c r="D82" s="3" t="inlineStr">
        <is>
          <t>Oregon</t>
        </is>
      </c>
      <c r="E82" s="3" t="inlineStr">
        <is>
          <t>Women's Athletic Footwear</t>
        </is>
      </c>
      <c r="F82" s="4" t="n">
        <v>134.22</v>
      </c>
      <c r="G82" s="5" t="n">
        <v>1055</v>
      </c>
      <c r="H82" s="4" t="n">
        <v>141602.1</v>
      </c>
      <c r="I82" s="4" t="n">
        <v>19243.73</v>
      </c>
      <c r="J82" s="6" t="n">
        <v>0.1359</v>
      </c>
      <c r="K82" s="3" t="inlineStr">
        <is>
          <t>Outlet</t>
        </is>
      </c>
    </row>
    <row r="83">
      <c r="A83" s="7" t="n">
        <v>44114</v>
      </c>
      <c r="B83" s="8" t="inlineStr">
        <is>
          <t>Walmart</t>
        </is>
      </c>
      <c r="C83" s="8" t="inlineStr">
        <is>
          <t>Southwest</t>
        </is>
      </c>
      <c r="D83" s="8" t="inlineStr">
        <is>
          <t>Oklahoma</t>
        </is>
      </c>
      <c r="E83" s="8" t="inlineStr">
        <is>
          <t>Men's Athletic Footwear</t>
        </is>
      </c>
      <c r="F83" s="9" t="n">
        <v>145.86</v>
      </c>
      <c r="G83" s="10" t="n">
        <v>567</v>
      </c>
      <c r="H83" s="9" t="n">
        <v>82702.62</v>
      </c>
      <c r="I83" s="9" t="n">
        <v>35512.51</v>
      </c>
      <c r="J83" s="11" t="n">
        <v>0.4294</v>
      </c>
      <c r="K83" s="8" t="inlineStr">
        <is>
          <t>In-store</t>
        </is>
      </c>
    </row>
    <row r="84">
      <c r="A84" s="2" t="n">
        <v>44254</v>
      </c>
      <c r="B84" s="3" t="inlineStr">
        <is>
          <t>Walmart</t>
        </is>
      </c>
      <c r="C84" s="3" t="inlineStr">
        <is>
          <t>Northeast</t>
        </is>
      </c>
      <c r="D84" s="3" t="inlineStr">
        <is>
          <t>New Jersey</t>
        </is>
      </c>
      <c r="E84" s="3" t="inlineStr">
        <is>
          <t>Men's Street Footwear</t>
        </is>
      </c>
      <c r="F84" s="4" t="n">
        <v>105.53</v>
      </c>
      <c r="G84" s="5" t="n">
        <v>159</v>
      </c>
      <c r="H84" s="4" t="n">
        <v>16779.27</v>
      </c>
      <c r="I84" s="4" t="n">
        <v>2568.91</v>
      </c>
      <c r="J84" s="6" t="n">
        <v>0.1531</v>
      </c>
      <c r="K84" s="3" t="inlineStr">
        <is>
          <t>Outlet</t>
        </is>
      </c>
    </row>
    <row r="85">
      <c r="A85" s="7" t="n">
        <v>44684</v>
      </c>
      <c r="B85" s="8" t="inlineStr">
        <is>
          <t>West Gear</t>
        </is>
      </c>
      <c r="C85" s="8" t="inlineStr">
        <is>
          <t>Southeast</t>
        </is>
      </c>
      <c r="D85" s="8" t="inlineStr">
        <is>
          <t>Florida</t>
        </is>
      </c>
      <c r="E85" s="8" t="inlineStr">
        <is>
          <t>Women's Street Footwear</t>
        </is>
      </c>
      <c r="F85" s="9" t="n">
        <v>101.54</v>
      </c>
      <c r="G85" s="10" t="n">
        <v>1316</v>
      </c>
      <c r="H85" s="9" t="n">
        <v>133626.64</v>
      </c>
      <c r="I85" s="9" t="n">
        <v>23919.17</v>
      </c>
      <c r="J85" s="11" t="n">
        <v>0.179</v>
      </c>
      <c r="K85" s="8" t="inlineStr">
        <is>
          <t>Outlet</t>
        </is>
      </c>
    </row>
    <row r="86">
      <c r="A86" s="2" t="n">
        <v>44757</v>
      </c>
      <c r="B86" s="3" t="inlineStr">
        <is>
          <t>Target</t>
        </is>
      </c>
      <c r="C86" s="3" t="inlineStr">
        <is>
          <t>Southwest</t>
        </is>
      </c>
      <c r="D86" s="3" t="inlineStr">
        <is>
          <t>Nevada</t>
        </is>
      </c>
      <c r="E86" s="3" t="inlineStr">
        <is>
          <t>Men's Apparel</t>
        </is>
      </c>
      <c r="F86" s="4" t="n">
        <v>66.65000000000001</v>
      </c>
      <c r="G86" s="5" t="n">
        <v>1321</v>
      </c>
      <c r="H86" s="4" t="n">
        <v>88044.64999999999</v>
      </c>
      <c r="I86" s="4" t="n">
        <v>10662.21</v>
      </c>
      <c r="J86" s="6" t="n">
        <v>0.1211</v>
      </c>
      <c r="K86" s="3" t="inlineStr">
        <is>
          <t>Online</t>
        </is>
      </c>
    </row>
    <row r="87">
      <c r="A87" s="7" t="n">
        <v>44617</v>
      </c>
      <c r="B87" s="8" t="inlineStr">
        <is>
          <t>Sports Direct</t>
        </is>
      </c>
      <c r="C87" s="8" t="inlineStr">
        <is>
          <t>Southeast</t>
        </is>
      </c>
      <c r="D87" s="8" t="inlineStr">
        <is>
          <t>Georgia</t>
        </is>
      </c>
      <c r="E87" s="8" t="inlineStr">
        <is>
          <t>Women's Apparel</t>
        </is>
      </c>
      <c r="F87" s="9" t="n">
        <v>48.85</v>
      </c>
      <c r="G87" s="10" t="n">
        <v>405</v>
      </c>
      <c r="H87" s="9" t="n">
        <v>19784.25</v>
      </c>
      <c r="I87" s="9" t="n">
        <v>5800.74</v>
      </c>
      <c r="J87" s="11" t="n">
        <v>0.2932</v>
      </c>
      <c r="K87" s="8" t="inlineStr">
        <is>
          <t>In-store</t>
        </is>
      </c>
    </row>
    <row r="88">
      <c r="A88" s="2" t="n">
        <v>43844</v>
      </c>
      <c r="B88" s="3" t="inlineStr">
        <is>
          <t>Walmart</t>
        </is>
      </c>
      <c r="C88" s="3" t="inlineStr">
        <is>
          <t>Southwest</t>
        </is>
      </c>
      <c r="D88" s="3" t="inlineStr">
        <is>
          <t>New Mexico</t>
        </is>
      </c>
      <c r="E88" s="3" t="inlineStr">
        <is>
          <t>Men's Athletic Footwear</t>
        </is>
      </c>
      <c r="F88" s="4" t="n">
        <v>57.78</v>
      </c>
      <c r="G88" s="5" t="n">
        <v>1497</v>
      </c>
      <c r="H88" s="4" t="n">
        <v>86496.66</v>
      </c>
      <c r="I88" s="4" t="n">
        <v>17212.84</v>
      </c>
      <c r="J88" s="6" t="n">
        <v>0.199</v>
      </c>
      <c r="K88" s="3" t="inlineStr">
        <is>
          <t>In-store</t>
        </is>
      </c>
    </row>
    <row r="89">
      <c r="A89" s="7" t="n">
        <v>44249</v>
      </c>
      <c r="B89" s="8" t="inlineStr">
        <is>
          <t>Target</t>
        </is>
      </c>
      <c r="C89" s="8" t="inlineStr">
        <is>
          <t>Southeast</t>
        </is>
      </c>
      <c r="D89" s="8" t="inlineStr">
        <is>
          <t>North Carolina</t>
        </is>
      </c>
      <c r="E89" s="8" t="inlineStr">
        <is>
          <t>Women's Apparel</t>
        </is>
      </c>
      <c r="F89" s="9" t="n">
        <v>109.34</v>
      </c>
      <c r="G89" s="10" t="n">
        <v>1962</v>
      </c>
      <c r="H89" s="9" t="n">
        <v>214525.08</v>
      </c>
      <c r="I89" s="9" t="n">
        <v>36297.64</v>
      </c>
      <c r="J89" s="11" t="n">
        <v>0.1692</v>
      </c>
      <c r="K89" s="8" t="inlineStr">
        <is>
          <t>Outlet</t>
        </is>
      </c>
    </row>
    <row r="90">
      <c r="A90" s="2" t="n">
        <v>44082</v>
      </c>
      <c r="B90" s="3" t="inlineStr">
        <is>
          <t>Target</t>
        </is>
      </c>
      <c r="C90" s="3" t="inlineStr">
        <is>
          <t>Southeast</t>
        </is>
      </c>
      <c r="D90" s="3" t="inlineStr">
        <is>
          <t>North Carolina</t>
        </is>
      </c>
      <c r="E90" s="3" t="inlineStr">
        <is>
          <t>Women's Athletic Footwear</t>
        </is>
      </c>
      <c r="F90" s="4" t="n">
        <v>37.16</v>
      </c>
      <c r="G90" s="5" t="n">
        <v>1673</v>
      </c>
      <c r="H90" s="4" t="n">
        <v>62168.68</v>
      </c>
      <c r="I90" s="4" t="n">
        <v>12912.43</v>
      </c>
      <c r="J90" s="6" t="n">
        <v>0.2077</v>
      </c>
      <c r="K90" s="3" t="inlineStr">
        <is>
          <t>In-store</t>
        </is>
      </c>
    </row>
    <row r="91">
      <c r="A91" s="7" t="n">
        <v>44844</v>
      </c>
      <c r="B91" s="8" t="inlineStr">
        <is>
          <t>Walmart</t>
        </is>
      </c>
      <c r="C91" s="8" t="inlineStr">
        <is>
          <t>Southwest</t>
        </is>
      </c>
      <c r="D91" s="8" t="inlineStr">
        <is>
          <t>Texas</t>
        </is>
      </c>
      <c r="E91" s="8" t="inlineStr">
        <is>
          <t>Women's Apparel</t>
        </is>
      </c>
      <c r="F91" s="9" t="n">
        <v>113.97</v>
      </c>
      <c r="G91" s="10" t="n">
        <v>1980</v>
      </c>
      <c r="H91" s="9" t="n">
        <v>225660.6</v>
      </c>
      <c r="I91" s="9" t="n">
        <v>44071.52</v>
      </c>
      <c r="J91" s="11" t="n">
        <v>0.1953</v>
      </c>
      <c r="K91" s="8" t="inlineStr">
        <is>
          <t>Online</t>
        </is>
      </c>
    </row>
    <row r="92">
      <c r="A92" s="2" t="n">
        <v>44788</v>
      </c>
      <c r="B92" s="3" t="inlineStr">
        <is>
          <t>Foot Locker</t>
        </is>
      </c>
      <c r="C92" s="3" t="inlineStr">
        <is>
          <t>Northeast</t>
        </is>
      </c>
      <c r="D92" s="3" t="inlineStr">
        <is>
          <t>Connecticut</t>
        </is>
      </c>
      <c r="E92" s="3" t="inlineStr">
        <is>
          <t>Women's Street Footwear</t>
        </is>
      </c>
      <c r="F92" s="4" t="n">
        <v>68.68000000000001</v>
      </c>
      <c r="G92" s="5" t="n">
        <v>562</v>
      </c>
      <c r="H92" s="4" t="n">
        <v>38598.16</v>
      </c>
      <c r="I92" s="4" t="n">
        <v>4211.06</v>
      </c>
      <c r="J92" s="6" t="n">
        <v>0.1091</v>
      </c>
      <c r="K92" s="3" t="inlineStr">
        <is>
          <t>Outlet</t>
        </is>
      </c>
    </row>
    <row r="93">
      <c r="A93" s="7" t="n">
        <v>44162</v>
      </c>
      <c r="B93" s="8" t="inlineStr">
        <is>
          <t>Foot Locker</t>
        </is>
      </c>
      <c r="C93" s="8" t="inlineStr">
        <is>
          <t>West</t>
        </is>
      </c>
      <c r="D93" s="8" t="inlineStr">
        <is>
          <t>Utah</t>
        </is>
      </c>
      <c r="E93" s="8" t="inlineStr">
        <is>
          <t>Women's Apparel</t>
        </is>
      </c>
      <c r="F93" s="9" t="n">
        <v>99.15000000000001</v>
      </c>
      <c r="G93" s="10" t="n">
        <v>1612</v>
      </c>
      <c r="H93" s="9" t="n">
        <v>159829.8</v>
      </c>
      <c r="I93" s="9" t="n">
        <v>58289.93</v>
      </c>
      <c r="J93" s="11" t="n">
        <v>0.3647</v>
      </c>
      <c r="K93" s="8" t="inlineStr">
        <is>
          <t>Online</t>
        </is>
      </c>
    </row>
    <row r="94">
      <c r="A94" s="2" t="n">
        <v>44460</v>
      </c>
      <c r="B94" s="3" t="inlineStr">
        <is>
          <t>Amazon</t>
        </is>
      </c>
      <c r="C94" s="3" t="inlineStr">
        <is>
          <t>Southwest</t>
        </is>
      </c>
      <c r="D94" s="3" t="inlineStr">
        <is>
          <t>Nevada</t>
        </is>
      </c>
      <c r="E94" s="3" t="inlineStr">
        <is>
          <t>Men's Apparel</t>
        </is>
      </c>
      <c r="F94" s="4" t="n">
        <v>106.17</v>
      </c>
      <c r="G94" s="5" t="n">
        <v>1057</v>
      </c>
      <c r="H94" s="4" t="n">
        <v>112221.69</v>
      </c>
      <c r="I94" s="4" t="n">
        <v>49287.77</v>
      </c>
      <c r="J94" s="6" t="n">
        <v>0.4392</v>
      </c>
      <c r="K94" s="3" t="inlineStr">
        <is>
          <t>Online</t>
        </is>
      </c>
    </row>
    <row r="95">
      <c r="A95" s="7" t="n">
        <v>44361</v>
      </c>
      <c r="B95" s="8" t="inlineStr">
        <is>
          <t>Kohl's</t>
        </is>
      </c>
      <c r="C95" s="8" t="inlineStr">
        <is>
          <t>Midwest</t>
        </is>
      </c>
      <c r="D95" s="8" t="inlineStr">
        <is>
          <t>Michigan</t>
        </is>
      </c>
      <c r="E95" s="8" t="inlineStr">
        <is>
          <t>Men's Street Footwear</t>
        </is>
      </c>
      <c r="F95" s="9" t="n">
        <v>69.58</v>
      </c>
      <c r="G95" s="10" t="n">
        <v>1470</v>
      </c>
      <c r="H95" s="9" t="n">
        <v>102282.6</v>
      </c>
      <c r="I95" s="9" t="n">
        <v>27964.06</v>
      </c>
      <c r="J95" s="11" t="n">
        <v>0.2734</v>
      </c>
      <c r="K95" s="8" t="inlineStr">
        <is>
          <t>In-store</t>
        </is>
      </c>
    </row>
    <row r="96">
      <c r="A96" s="2" t="n">
        <v>44769</v>
      </c>
      <c r="B96" s="3" t="inlineStr">
        <is>
          <t>Walmart</t>
        </is>
      </c>
      <c r="C96" s="3" t="inlineStr">
        <is>
          <t>West</t>
        </is>
      </c>
      <c r="D96" s="3" t="inlineStr">
        <is>
          <t>California</t>
        </is>
      </c>
      <c r="E96" s="3" t="inlineStr">
        <is>
          <t>Men's Street Footwear</t>
        </is>
      </c>
      <c r="F96" s="4" t="n">
        <v>60.29</v>
      </c>
      <c r="G96" s="5" t="n">
        <v>287</v>
      </c>
      <c r="H96" s="4" t="n">
        <v>17303.23</v>
      </c>
      <c r="I96" s="4" t="n">
        <v>7606.5</v>
      </c>
      <c r="J96" s="6" t="n">
        <v>0.4396</v>
      </c>
      <c r="K96" s="3" t="inlineStr">
        <is>
          <t>Online</t>
        </is>
      </c>
    </row>
    <row r="97">
      <c r="A97" s="7" t="n">
        <v>44466</v>
      </c>
      <c r="B97" s="8" t="inlineStr">
        <is>
          <t>Walmart</t>
        </is>
      </c>
      <c r="C97" s="8" t="inlineStr">
        <is>
          <t>Northeast</t>
        </is>
      </c>
      <c r="D97" s="8" t="inlineStr">
        <is>
          <t>Connecticut</t>
        </is>
      </c>
      <c r="E97" s="8" t="inlineStr">
        <is>
          <t>Women's Street Footwear</t>
        </is>
      </c>
      <c r="F97" s="9" t="n">
        <v>52.51</v>
      </c>
      <c r="G97" s="10" t="n">
        <v>790</v>
      </c>
      <c r="H97" s="9" t="n">
        <v>41482.9</v>
      </c>
      <c r="I97" s="9" t="n">
        <v>13187.41</v>
      </c>
      <c r="J97" s="11" t="n">
        <v>0.3179</v>
      </c>
      <c r="K97" s="8" t="inlineStr">
        <is>
          <t>In-store</t>
        </is>
      </c>
    </row>
    <row r="98">
      <c r="A98" s="2" t="n">
        <v>44515</v>
      </c>
      <c r="B98" s="3" t="inlineStr">
        <is>
          <t>Sports Direct</t>
        </is>
      </c>
      <c r="C98" s="3" t="inlineStr">
        <is>
          <t>Northeast</t>
        </is>
      </c>
      <c r="D98" s="3" t="inlineStr">
        <is>
          <t>Pennsylvania</t>
        </is>
      </c>
      <c r="E98" s="3" t="inlineStr">
        <is>
          <t>Men's Apparel</t>
        </is>
      </c>
      <c r="F98" s="4" t="n">
        <v>141.32</v>
      </c>
      <c r="G98" s="5" t="n">
        <v>947</v>
      </c>
      <c r="H98" s="4" t="n">
        <v>133830.04</v>
      </c>
      <c r="I98" s="4" t="n">
        <v>54642.81</v>
      </c>
      <c r="J98" s="6" t="n">
        <v>0.4083</v>
      </c>
      <c r="K98" s="3" t="inlineStr">
        <is>
          <t>In-store</t>
        </is>
      </c>
    </row>
    <row r="99">
      <c r="A99" s="7" t="n">
        <v>44228</v>
      </c>
      <c r="B99" s="8" t="inlineStr">
        <is>
          <t>Kohl's</t>
        </is>
      </c>
      <c r="C99" s="8" t="inlineStr">
        <is>
          <t>West</t>
        </is>
      </c>
      <c r="D99" s="8" t="inlineStr">
        <is>
          <t>Washington</t>
        </is>
      </c>
      <c r="E99" s="8" t="inlineStr">
        <is>
          <t>Women's Athletic Footwear</t>
        </is>
      </c>
      <c r="F99" s="9" t="n">
        <v>96.09999999999999</v>
      </c>
      <c r="G99" s="10" t="n">
        <v>1181</v>
      </c>
      <c r="H99" s="9" t="n">
        <v>113494.1</v>
      </c>
      <c r="I99" s="9" t="n">
        <v>27556.37</v>
      </c>
      <c r="J99" s="11" t="n">
        <v>0.2428</v>
      </c>
      <c r="K99" s="8" t="inlineStr">
        <is>
          <t>Online</t>
        </is>
      </c>
    </row>
    <row r="100">
      <c r="A100" s="2" t="n">
        <v>43876</v>
      </c>
      <c r="B100" s="3" t="inlineStr">
        <is>
          <t>Walmart</t>
        </is>
      </c>
      <c r="C100" s="3" t="inlineStr">
        <is>
          <t>Northeast</t>
        </is>
      </c>
      <c r="D100" s="3" t="inlineStr">
        <is>
          <t>Pennsylvania</t>
        </is>
      </c>
      <c r="E100" s="3" t="inlineStr">
        <is>
          <t>Women's Apparel</t>
        </is>
      </c>
      <c r="F100" s="4" t="n">
        <v>91.06</v>
      </c>
      <c r="G100" s="5" t="n">
        <v>609</v>
      </c>
      <c r="H100" s="4" t="n">
        <v>55455.54</v>
      </c>
      <c r="I100" s="4" t="n">
        <v>13608.79</v>
      </c>
      <c r="J100" s="6" t="n">
        <v>0.2454</v>
      </c>
      <c r="K100" s="3" t="inlineStr">
        <is>
          <t>Online</t>
        </is>
      </c>
    </row>
    <row r="101">
      <c r="A101" s="7" t="n">
        <v>44416</v>
      </c>
      <c r="B101" s="8" t="inlineStr">
        <is>
          <t>Amazon</t>
        </is>
      </c>
      <c r="C101" s="8" t="inlineStr">
        <is>
          <t>Southwest</t>
        </is>
      </c>
      <c r="D101" s="8" t="inlineStr">
        <is>
          <t>New Mexico</t>
        </is>
      </c>
      <c r="E101" s="8" t="inlineStr">
        <is>
          <t>Women's Street Footwear</t>
        </is>
      </c>
      <c r="F101" s="9" t="n">
        <v>140.62</v>
      </c>
      <c r="G101" s="10" t="n">
        <v>1090</v>
      </c>
      <c r="H101" s="9" t="n">
        <v>153275.8</v>
      </c>
      <c r="I101" s="9" t="n">
        <v>55363.22</v>
      </c>
      <c r="J101" s="11" t="n">
        <v>0.3612</v>
      </c>
      <c r="K101" s="8" t="inlineStr">
        <is>
          <t>In-store</t>
        </is>
      </c>
    </row>
    <row r="102">
      <c r="A102" s="2" t="n">
        <v>43870</v>
      </c>
      <c r="B102" s="3" t="inlineStr">
        <is>
          <t>Target</t>
        </is>
      </c>
      <c r="C102" s="3" t="inlineStr">
        <is>
          <t>Southwest</t>
        </is>
      </c>
      <c r="D102" s="3" t="inlineStr">
        <is>
          <t>Nevada</t>
        </is>
      </c>
      <c r="E102" s="3" t="inlineStr">
        <is>
          <t>Men's Apparel</t>
        </is>
      </c>
      <c r="F102" s="4" t="n">
        <v>128.47</v>
      </c>
      <c r="G102" s="5" t="n">
        <v>629</v>
      </c>
      <c r="H102" s="4" t="n">
        <v>80807.63</v>
      </c>
      <c r="I102" s="4" t="n">
        <v>28613.98</v>
      </c>
      <c r="J102" s="6" t="n">
        <v>0.3541</v>
      </c>
      <c r="K102" s="3" t="inlineStr">
        <is>
          <t>Online</t>
        </is>
      </c>
    </row>
    <row r="103">
      <c r="A103" s="7" t="n">
        <v>44856</v>
      </c>
      <c r="B103" s="8" t="inlineStr">
        <is>
          <t>Walmart</t>
        </is>
      </c>
      <c r="C103" s="8" t="inlineStr">
        <is>
          <t>Southwest</t>
        </is>
      </c>
      <c r="D103" s="8" t="inlineStr">
        <is>
          <t>Arizona</t>
        </is>
      </c>
      <c r="E103" s="8" t="inlineStr">
        <is>
          <t>Men's Apparel</t>
        </is>
      </c>
      <c r="F103" s="9" t="n">
        <v>71.41</v>
      </c>
      <c r="G103" s="10" t="n">
        <v>1180</v>
      </c>
      <c r="H103" s="9" t="n">
        <v>84263.8</v>
      </c>
      <c r="I103" s="9" t="n">
        <v>30924.81</v>
      </c>
      <c r="J103" s="11" t="n">
        <v>0.367</v>
      </c>
      <c r="K103" s="8" t="inlineStr">
        <is>
          <t>Online</t>
        </is>
      </c>
    </row>
    <row r="104">
      <c r="A104" s="2" t="n">
        <v>44419</v>
      </c>
      <c r="B104" s="3" t="inlineStr">
        <is>
          <t>West Gear</t>
        </is>
      </c>
      <c r="C104" s="3" t="inlineStr">
        <is>
          <t>Southeast</t>
        </is>
      </c>
      <c r="D104" s="3" t="inlineStr">
        <is>
          <t>Georgia</t>
        </is>
      </c>
      <c r="E104" s="3" t="inlineStr">
        <is>
          <t>Women's Street Footwear</t>
        </is>
      </c>
      <c r="F104" s="4" t="n">
        <v>132.72</v>
      </c>
      <c r="G104" s="5" t="n">
        <v>891</v>
      </c>
      <c r="H104" s="4" t="n">
        <v>118253.52</v>
      </c>
      <c r="I104" s="4" t="n">
        <v>13634.63</v>
      </c>
      <c r="J104" s="6" t="n">
        <v>0.1153</v>
      </c>
      <c r="K104" s="3" t="inlineStr">
        <is>
          <t>In-store</t>
        </is>
      </c>
    </row>
    <row r="105">
      <c r="A105" s="7" t="n">
        <v>44796</v>
      </c>
      <c r="B105" s="8" t="inlineStr">
        <is>
          <t>Kohl's</t>
        </is>
      </c>
      <c r="C105" s="8" t="inlineStr">
        <is>
          <t>Southwest</t>
        </is>
      </c>
      <c r="D105" s="8" t="inlineStr">
        <is>
          <t>Oklahoma</t>
        </is>
      </c>
      <c r="E105" s="8" t="inlineStr">
        <is>
          <t>Women's Apparel</t>
        </is>
      </c>
      <c r="F105" s="9" t="n">
        <v>89.44</v>
      </c>
      <c r="G105" s="10" t="n">
        <v>125</v>
      </c>
      <c r="H105" s="9" t="n">
        <v>11180</v>
      </c>
      <c r="I105" s="9" t="n">
        <v>1612.16</v>
      </c>
      <c r="J105" s="11" t="n">
        <v>0.1442</v>
      </c>
      <c r="K105" s="8" t="inlineStr">
        <is>
          <t>In-store</t>
        </is>
      </c>
    </row>
    <row r="106">
      <c r="A106" s="2" t="n">
        <v>44740</v>
      </c>
      <c r="B106" s="3" t="inlineStr">
        <is>
          <t>Foot Locker</t>
        </is>
      </c>
      <c r="C106" s="3" t="inlineStr">
        <is>
          <t>Northeast</t>
        </is>
      </c>
      <c r="D106" s="3" t="inlineStr">
        <is>
          <t>New Jersey</t>
        </is>
      </c>
      <c r="E106" s="3" t="inlineStr">
        <is>
          <t>Men's Apparel</t>
        </is>
      </c>
      <c r="F106" s="4" t="n">
        <v>31.84</v>
      </c>
      <c r="G106" s="5" t="n">
        <v>345</v>
      </c>
      <c r="H106" s="4" t="n">
        <v>10984.8</v>
      </c>
      <c r="I106" s="4" t="n">
        <v>2674.8</v>
      </c>
      <c r="J106" s="6" t="n">
        <v>0.2435</v>
      </c>
      <c r="K106" s="3" t="inlineStr">
        <is>
          <t>Online</t>
        </is>
      </c>
    </row>
    <row r="107">
      <c r="A107" s="7" t="n">
        <v>44623</v>
      </c>
      <c r="B107" s="8" t="inlineStr">
        <is>
          <t>Sports Direct</t>
        </is>
      </c>
      <c r="C107" s="8" t="inlineStr">
        <is>
          <t>Southwest</t>
        </is>
      </c>
      <c r="D107" s="8" t="inlineStr">
        <is>
          <t>Nevada</t>
        </is>
      </c>
      <c r="E107" s="8" t="inlineStr">
        <is>
          <t>Men's Apparel</t>
        </is>
      </c>
      <c r="F107" s="9" t="n">
        <v>77.7</v>
      </c>
      <c r="G107" s="10" t="n">
        <v>214</v>
      </c>
      <c r="H107" s="9" t="n">
        <v>16627.8</v>
      </c>
      <c r="I107" s="9" t="n">
        <v>6619.53</v>
      </c>
      <c r="J107" s="11" t="n">
        <v>0.3981</v>
      </c>
      <c r="K107" s="8" t="inlineStr">
        <is>
          <t>Outlet</t>
        </is>
      </c>
    </row>
    <row r="108">
      <c r="A108" s="2" t="n">
        <v>44817</v>
      </c>
      <c r="B108" s="3" t="inlineStr">
        <is>
          <t>Target</t>
        </is>
      </c>
      <c r="C108" s="3" t="inlineStr">
        <is>
          <t>Midwest</t>
        </is>
      </c>
      <c r="D108" s="3" t="inlineStr">
        <is>
          <t>Wisconsin</t>
        </is>
      </c>
      <c r="E108" s="3" t="inlineStr">
        <is>
          <t>Men's Apparel</t>
        </is>
      </c>
      <c r="F108" s="4" t="n">
        <v>104.1</v>
      </c>
      <c r="G108" s="5" t="n">
        <v>530</v>
      </c>
      <c r="H108" s="4" t="n">
        <v>55173</v>
      </c>
      <c r="I108" s="4" t="n">
        <v>17705.02</v>
      </c>
      <c r="J108" s="6" t="n">
        <v>0.3209</v>
      </c>
      <c r="K108" s="3" t="inlineStr">
        <is>
          <t>In-store</t>
        </is>
      </c>
    </row>
    <row r="109">
      <c r="A109" s="7" t="n">
        <v>44310</v>
      </c>
      <c r="B109" s="8" t="inlineStr">
        <is>
          <t>Foot Locker</t>
        </is>
      </c>
      <c r="C109" s="8" t="inlineStr">
        <is>
          <t>Northeast</t>
        </is>
      </c>
      <c r="D109" s="8" t="inlineStr">
        <is>
          <t>New Jersey</t>
        </is>
      </c>
      <c r="E109" s="8" t="inlineStr">
        <is>
          <t>Women's Apparel</t>
        </is>
      </c>
      <c r="F109" s="9" t="n">
        <v>134.71</v>
      </c>
      <c r="G109" s="10" t="n">
        <v>958</v>
      </c>
      <c r="H109" s="9" t="n">
        <v>129052.18</v>
      </c>
      <c r="I109" s="9" t="n">
        <v>20416.05</v>
      </c>
      <c r="J109" s="11" t="n">
        <v>0.1582</v>
      </c>
      <c r="K109" s="8" t="inlineStr">
        <is>
          <t>Outlet</t>
        </is>
      </c>
    </row>
    <row r="110">
      <c r="A110" s="2" t="n">
        <v>44198</v>
      </c>
      <c r="B110" s="3" t="inlineStr">
        <is>
          <t>Sports Direct</t>
        </is>
      </c>
      <c r="C110" s="3" t="inlineStr">
        <is>
          <t>Midwest</t>
        </is>
      </c>
      <c r="D110" s="3" t="inlineStr">
        <is>
          <t>Illinois</t>
        </is>
      </c>
      <c r="E110" s="3" t="inlineStr">
        <is>
          <t>Men's Athletic Footwear</t>
        </is>
      </c>
      <c r="F110" s="4" t="n">
        <v>81.68000000000001</v>
      </c>
      <c r="G110" s="5" t="n">
        <v>550</v>
      </c>
      <c r="H110" s="4" t="n">
        <v>44924</v>
      </c>
      <c r="I110" s="4" t="n">
        <v>12843.77</v>
      </c>
      <c r="J110" s="6" t="n">
        <v>0.2859</v>
      </c>
      <c r="K110" s="3" t="inlineStr">
        <is>
          <t>Online</t>
        </is>
      </c>
    </row>
    <row r="111">
      <c r="A111" s="7" t="n">
        <v>44891</v>
      </c>
      <c r="B111" s="8" t="inlineStr">
        <is>
          <t>Amazon</t>
        </is>
      </c>
      <c r="C111" s="8" t="inlineStr">
        <is>
          <t>Southeast</t>
        </is>
      </c>
      <c r="D111" s="8" t="inlineStr">
        <is>
          <t>Georgia</t>
        </is>
      </c>
      <c r="E111" s="8" t="inlineStr">
        <is>
          <t>Men's Street Footwear</t>
        </is>
      </c>
      <c r="F111" s="9" t="n">
        <v>134.5</v>
      </c>
      <c r="G111" s="10" t="n">
        <v>1319</v>
      </c>
      <c r="H111" s="9" t="n">
        <v>177405.5</v>
      </c>
      <c r="I111" s="9" t="n">
        <v>60158.21</v>
      </c>
      <c r="J111" s="11" t="n">
        <v>0.3391</v>
      </c>
      <c r="K111" s="8" t="inlineStr">
        <is>
          <t>Outlet</t>
        </is>
      </c>
    </row>
    <row r="112">
      <c r="A112" s="2" t="n">
        <v>44474</v>
      </c>
      <c r="B112" s="3" t="inlineStr">
        <is>
          <t>Kohl's</t>
        </is>
      </c>
      <c r="C112" s="3" t="inlineStr">
        <is>
          <t>Southeast</t>
        </is>
      </c>
      <c r="D112" s="3" t="inlineStr">
        <is>
          <t>Virginia</t>
        </is>
      </c>
      <c r="E112" s="3" t="inlineStr">
        <is>
          <t>Men's Athletic Footwear</t>
        </is>
      </c>
      <c r="F112" s="4" t="n">
        <v>60.64</v>
      </c>
      <c r="G112" s="5" t="n">
        <v>69</v>
      </c>
      <c r="H112" s="4" t="n">
        <v>4184.16</v>
      </c>
      <c r="I112" s="4" t="n">
        <v>1734.75</v>
      </c>
      <c r="J112" s="6" t="n">
        <v>0.4146</v>
      </c>
      <c r="K112" s="3" t="inlineStr">
        <is>
          <t>Online</t>
        </is>
      </c>
    </row>
    <row r="113">
      <c r="A113" s="7" t="n">
        <v>44338</v>
      </c>
      <c r="B113" s="8" t="inlineStr">
        <is>
          <t>Foot Locker</t>
        </is>
      </c>
      <c r="C113" s="8" t="inlineStr">
        <is>
          <t>West</t>
        </is>
      </c>
      <c r="D113" s="8" t="inlineStr">
        <is>
          <t>Washington</t>
        </is>
      </c>
      <c r="E113" s="8" t="inlineStr">
        <is>
          <t>Women's Street Footwear</t>
        </is>
      </c>
      <c r="F113" s="9" t="n">
        <v>148.52</v>
      </c>
      <c r="G113" s="10" t="n">
        <v>662</v>
      </c>
      <c r="H113" s="9" t="n">
        <v>98320.24000000001</v>
      </c>
      <c r="I113" s="9" t="n">
        <v>31816.43</v>
      </c>
      <c r="J113" s="11" t="n">
        <v>0.3236</v>
      </c>
      <c r="K113" s="8" t="inlineStr">
        <is>
          <t>Online</t>
        </is>
      </c>
    </row>
    <row r="114">
      <c r="A114" s="2" t="n">
        <v>44539</v>
      </c>
      <c r="B114" s="3" t="inlineStr">
        <is>
          <t>Amazon</t>
        </is>
      </c>
      <c r="C114" s="3" t="inlineStr">
        <is>
          <t>Southwest</t>
        </is>
      </c>
      <c r="D114" s="3" t="inlineStr">
        <is>
          <t>Nevada</t>
        </is>
      </c>
      <c r="E114" s="3" t="inlineStr">
        <is>
          <t>Women's Street Footwear</t>
        </is>
      </c>
      <c r="F114" s="4" t="n">
        <v>42.8</v>
      </c>
      <c r="G114" s="5" t="n">
        <v>831</v>
      </c>
      <c r="H114" s="4" t="n">
        <v>35566.8</v>
      </c>
      <c r="I114" s="4" t="n">
        <v>10677.15</v>
      </c>
      <c r="J114" s="6" t="n">
        <v>0.3002</v>
      </c>
      <c r="K114" s="3" t="inlineStr">
        <is>
          <t>Online</t>
        </is>
      </c>
    </row>
    <row r="115">
      <c r="A115" s="7" t="n">
        <v>44704</v>
      </c>
      <c r="B115" s="8" t="inlineStr">
        <is>
          <t>Target</t>
        </is>
      </c>
      <c r="C115" s="8" t="inlineStr">
        <is>
          <t>Midwest</t>
        </is>
      </c>
      <c r="D115" s="8" t="inlineStr">
        <is>
          <t>Illinois</t>
        </is>
      </c>
      <c r="E115" s="8" t="inlineStr">
        <is>
          <t>Women's Apparel</t>
        </is>
      </c>
      <c r="F115" s="9" t="n">
        <v>62.94</v>
      </c>
      <c r="G115" s="10" t="n">
        <v>1209</v>
      </c>
      <c r="H115" s="9" t="n">
        <v>76094.46000000001</v>
      </c>
      <c r="I115" s="9" t="n">
        <v>30650.85</v>
      </c>
      <c r="J115" s="11" t="n">
        <v>0.4028</v>
      </c>
      <c r="K115" s="8" t="inlineStr">
        <is>
          <t>Online</t>
        </is>
      </c>
    </row>
    <row r="116">
      <c r="A116" s="2" t="n">
        <v>44581</v>
      </c>
      <c r="B116" s="3" t="inlineStr">
        <is>
          <t>Target</t>
        </is>
      </c>
      <c r="C116" s="3" t="inlineStr">
        <is>
          <t>Southwest</t>
        </is>
      </c>
      <c r="D116" s="3" t="inlineStr">
        <is>
          <t>Nevada</t>
        </is>
      </c>
      <c r="E116" s="3" t="inlineStr">
        <is>
          <t>Women's Athletic Footwear</t>
        </is>
      </c>
      <c r="F116" s="4" t="n">
        <v>126.23</v>
      </c>
      <c r="G116" s="5" t="n">
        <v>498</v>
      </c>
      <c r="H116" s="4" t="n">
        <v>62862.54</v>
      </c>
      <c r="I116" s="4" t="n">
        <v>20292.03</v>
      </c>
      <c r="J116" s="6" t="n">
        <v>0.3228</v>
      </c>
      <c r="K116" s="3" t="inlineStr">
        <is>
          <t>Outlet</t>
        </is>
      </c>
    </row>
    <row r="117">
      <c r="A117" s="7" t="n">
        <v>44703</v>
      </c>
      <c r="B117" s="8" t="inlineStr">
        <is>
          <t>Kohl's</t>
        </is>
      </c>
      <c r="C117" s="8" t="inlineStr">
        <is>
          <t>Southeast</t>
        </is>
      </c>
      <c r="D117" s="8" t="inlineStr">
        <is>
          <t>Florida</t>
        </is>
      </c>
      <c r="E117" s="8" t="inlineStr">
        <is>
          <t>Women's Apparel</t>
        </is>
      </c>
      <c r="F117" s="9" t="n">
        <v>67.06999999999999</v>
      </c>
      <c r="G117" s="10" t="n">
        <v>952</v>
      </c>
      <c r="H117" s="9" t="n">
        <v>63850.64</v>
      </c>
      <c r="I117" s="9" t="n">
        <v>7132.12</v>
      </c>
      <c r="J117" s="11" t="n">
        <v>0.1117</v>
      </c>
      <c r="K117" s="8" t="inlineStr">
        <is>
          <t>In-store</t>
        </is>
      </c>
    </row>
    <row r="118">
      <c r="A118" s="2" t="n">
        <v>44535</v>
      </c>
      <c r="B118" s="3" t="inlineStr">
        <is>
          <t>Sports Direct</t>
        </is>
      </c>
      <c r="C118" s="3" t="inlineStr">
        <is>
          <t>Northeast</t>
        </is>
      </c>
      <c r="D118" s="3" t="inlineStr">
        <is>
          <t>Massachusetts</t>
        </is>
      </c>
      <c r="E118" s="3" t="inlineStr">
        <is>
          <t>Women's Apparel</t>
        </is>
      </c>
      <c r="F118" s="4" t="n">
        <v>51.08</v>
      </c>
      <c r="G118" s="5" t="n">
        <v>320</v>
      </c>
      <c r="H118" s="4" t="n">
        <v>16345.6</v>
      </c>
      <c r="I118" s="4" t="n">
        <v>6134.5</v>
      </c>
      <c r="J118" s="6" t="n">
        <v>0.3753</v>
      </c>
      <c r="K118" s="3" t="inlineStr">
        <is>
          <t>Online</t>
        </is>
      </c>
    </row>
    <row r="119">
      <c r="A119" s="7" t="n">
        <v>44456</v>
      </c>
      <c r="B119" s="8" t="inlineStr">
        <is>
          <t>Sports Direct</t>
        </is>
      </c>
      <c r="C119" s="8" t="inlineStr">
        <is>
          <t>Midwest</t>
        </is>
      </c>
      <c r="D119" s="8" t="inlineStr">
        <is>
          <t>Ohio</t>
        </is>
      </c>
      <c r="E119" s="8" t="inlineStr">
        <is>
          <t>Women's Street Footwear</t>
        </is>
      </c>
      <c r="F119" s="9" t="n">
        <v>119.59</v>
      </c>
      <c r="G119" s="10" t="n">
        <v>743</v>
      </c>
      <c r="H119" s="9" t="n">
        <v>88855.37</v>
      </c>
      <c r="I119" s="9" t="n">
        <v>33898.32</v>
      </c>
      <c r="J119" s="11" t="n">
        <v>0.3815</v>
      </c>
      <c r="K119" s="8" t="inlineStr">
        <is>
          <t>Online</t>
        </is>
      </c>
    </row>
    <row r="120">
      <c r="A120" s="2" t="n">
        <v>44232</v>
      </c>
      <c r="B120" s="3" t="inlineStr">
        <is>
          <t>Target</t>
        </is>
      </c>
      <c r="C120" s="3" t="inlineStr">
        <is>
          <t>Southeast</t>
        </is>
      </c>
      <c r="D120" s="3" t="inlineStr">
        <is>
          <t>Virginia</t>
        </is>
      </c>
      <c r="E120" s="3" t="inlineStr">
        <is>
          <t>Men's Apparel</t>
        </is>
      </c>
      <c r="F120" s="4" t="n">
        <v>40.84</v>
      </c>
      <c r="G120" s="5" t="n">
        <v>858</v>
      </c>
      <c r="H120" s="4" t="n">
        <v>35040.72</v>
      </c>
      <c r="I120" s="4" t="n">
        <v>3675.77</v>
      </c>
      <c r="J120" s="6" t="n">
        <v>0.1049</v>
      </c>
      <c r="K120" s="3" t="inlineStr">
        <is>
          <t>Online</t>
        </is>
      </c>
    </row>
    <row r="121">
      <c r="A121" s="7" t="n">
        <v>44607</v>
      </c>
      <c r="B121" s="8" t="inlineStr">
        <is>
          <t>West Gear</t>
        </is>
      </c>
      <c r="C121" s="8" t="inlineStr">
        <is>
          <t>Midwest</t>
        </is>
      </c>
      <c r="D121" s="8" t="inlineStr">
        <is>
          <t>Michigan</t>
        </is>
      </c>
      <c r="E121" s="8" t="inlineStr">
        <is>
          <t>Women's Street Footwear</t>
        </is>
      </c>
      <c r="F121" s="9" t="n">
        <v>142.84</v>
      </c>
      <c r="G121" s="10" t="n">
        <v>271</v>
      </c>
      <c r="H121" s="9" t="n">
        <v>38709.64</v>
      </c>
      <c r="I121" s="9" t="n">
        <v>13014.18</v>
      </c>
      <c r="J121" s="11" t="n">
        <v>0.3362</v>
      </c>
      <c r="K121" s="8" t="inlineStr">
        <is>
          <t>Outlet</t>
        </is>
      </c>
    </row>
    <row r="122">
      <c r="A122" s="2" t="n">
        <v>44216</v>
      </c>
      <c r="B122" s="3" t="inlineStr">
        <is>
          <t>West Gear</t>
        </is>
      </c>
      <c r="C122" s="3" t="inlineStr">
        <is>
          <t>West</t>
        </is>
      </c>
      <c r="D122" s="3" t="inlineStr">
        <is>
          <t>Oregon</t>
        </is>
      </c>
      <c r="E122" s="3" t="inlineStr">
        <is>
          <t>Women's Athletic Footwear</t>
        </is>
      </c>
      <c r="F122" s="4" t="n">
        <v>37.59</v>
      </c>
      <c r="G122" s="5" t="n">
        <v>1737</v>
      </c>
      <c r="H122" s="4" t="n">
        <v>65293.83</v>
      </c>
      <c r="I122" s="4" t="n">
        <v>17139.63</v>
      </c>
      <c r="J122" s="6" t="n">
        <v>0.2625</v>
      </c>
      <c r="K122" s="3" t="inlineStr">
        <is>
          <t>Outlet</t>
        </is>
      </c>
    </row>
    <row r="123">
      <c r="A123" s="7" t="n">
        <v>44702</v>
      </c>
      <c r="B123" s="8" t="inlineStr">
        <is>
          <t>Amazon</t>
        </is>
      </c>
      <c r="C123" s="8" t="inlineStr">
        <is>
          <t>Southwest</t>
        </is>
      </c>
      <c r="D123" s="8" t="inlineStr">
        <is>
          <t>Texas</t>
        </is>
      </c>
      <c r="E123" s="8" t="inlineStr">
        <is>
          <t>Men's Street Footwear</t>
        </is>
      </c>
      <c r="F123" s="9" t="n">
        <v>66.52</v>
      </c>
      <c r="G123" s="10" t="n">
        <v>1058</v>
      </c>
      <c r="H123" s="9" t="n">
        <v>70378.16</v>
      </c>
      <c r="I123" s="9" t="n">
        <v>9895.17</v>
      </c>
      <c r="J123" s="11" t="n">
        <v>0.1406</v>
      </c>
      <c r="K123" s="8" t="inlineStr">
        <is>
          <t>In-store</t>
        </is>
      </c>
    </row>
    <row r="124">
      <c r="A124" s="2" t="n">
        <v>44079</v>
      </c>
      <c r="B124" s="3" t="inlineStr">
        <is>
          <t>Sports Direct</t>
        </is>
      </c>
      <c r="C124" s="3" t="inlineStr">
        <is>
          <t>Southwest</t>
        </is>
      </c>
      <c r="D124" s="3" t="inlineStr">
        <is>
          <t>Oklahoma</t>
        </is>
      </c>
      <c r="E124" s="3" t="inlineStr">
        <is>
          <t>Women's Apparel</t>
        </is>
      </c>
      <c r="F124" s="4" t="n">
        <v>113.58</v>
      </c>
      <c r="G124" s="5" t="n">
        <v>1156</v>
      </c>
      <c r="H124" s="4" t="n">
        <v>131298.48</v>
      </c>
      <c r="I124" s="4" t="n">
        <v>32391.34</v>
      </c>
      <c r="J124" s="6" t="n">
        <v>0.2467</v>
      </c>
      <c r="K124" s="3" t="inlineStr">
        <is>
          <t>Outlet</t>
        </is>
      </c>
    </row>
    <row r="125">
      <c r="A125" s="7" t="n">
        <v>44900</v>
      </c>
      <c r="B125" s="8" t="inlineStr">
        <is>
          <t>Target</t>
        </is>
      </c>
      <c r="C125" s="8" t="inlineStr">
        <is>
          <t>Southwest</t>
        </is>
      </c>
      <c r="D125" s="8" t="inlineStr">
        <is>
          <t>Texas</t>
        </is>
      </c>
      <c r="E125" s="8" t="inlineStr">
        <is>
          <t>Women's Street Footwear</t>
        </is>
      </c>
      <c r="F125" s="9" t="n">
        <v>78.97</v>
      </c>
      <c r="G125" s="10" t="n">
        <v>1998</v>
      </c>
      <c r="H125" s="9" t="n">
        <v>157782.06</v>
      </c>
      <c r="I125" s="9" t="n">
        <v>31225.07</v>
      </c>
      <c r="J125" s="11" t="n">
        <v>0.1979</v>
      </c>
      <c r="K125" s="8" t="inlineStr">
        <is>
          <t>Outlet</t>
        </is>
      </c>
    </row>
    <row r="126">
      <c r="A126" s="2" t="n">
        <v>44719</v>
      </c>
      <c r="B126" s="3" t="inlineStr">
        <is>
          <t>Amazon</t>
        </is>
      </c>
      <c r="C126" s="3" t="inlineStr">
        <is>
          <t>Southwest</t>
        </is>
      </c>
      <c r="D126" s="3" t="inlineStr">
        <is>
          <t>Oklahoma</t>
        </is>
      </c>
      <c r="E126" s="3" t="inlineStr">
        <is>
          <t>Men's Athletic Footwear</t>
        </is>
      </c>
      <c r="F126" s="4" t="n">
        <v>147.71</v>
      </c>
      <c r="G126" s="5" t="n">
        <v>802</v>
      </c>
      <c r="H126" s="4" t="n">
        <v>118463.42</v>
      </c>
      <c r="I126" s="4" t="n">
        <v>34425.47</v>
      </c>
      <c r="J126" s="6" t="n">
        <v>0.2906</v>
      </c>
      <c r="K126" s="3" t="inlineStr">
        <is>
          <t>In-store</t>
        </is>
      </c>
    </row>
    <row r="127">
      <c r="A127" s="7" t="n">
        <v>44714</v>
      </c>
      <c r="B127" s="8" t="inlineStr">
        <is>
          <t>Amazon</t>
        </is>
      </c>
      <c r="C127" s="8" t="inlineStr">
        <is>
          <t>Southwest</t>
        </is>
      </c>
      <c r="D127" s="8" t="inlineStr">
        <is>
          <t>Nevada</t>
        </is>
      </c>
      <c r="E127" s="8" t="inlineStr">
        <is>
          <t>Men's Street Footwear</t>
        </is>
      </c>
      <c r="F127" s="9" t="n">
        <v>41</v>
      </c>
      <c r="G127" s="10" t="n">
        <v>484</v>
      </c>
      <c r="H127" s="9" t="n">
        <v>19844</v>
      </c>
      <c r="I127" s="9" t="n">
        <v>6441.36</v>
      </c>
      <c r="J127" s="11" t="n">
        <v>0.3246</v>
      </c>
      <c r="K127" s="8" t="inlineStr">
        <is>
          <t>Online</t>
        </is>
      </c>
    </row>
    <row r="128">
      <c r="A128" s="2" t="n">
        <v>44563</v>
      </c>
      <c r="B128" s="3" t="inlineStr">
        <is>
          <t>Amazon</t>
        </is>
      </c>
      <c r="C128" s="3" t="inlineStr">
        <is>
          <t>Midwest</t>
        </is>
      </c>
      <c r="D128" s="3" t="inlineStr">
        <is>
          <t>Ohio</t>
        </is>
      </c>
      <c r="E128" s="3" t="inlineStr">
        <is>
          <t>Men's Apparel</t>
        </is>
      </c>
      <c r="F128" s="4" t="n">
        <v>38.23</v>
      </c>
      <c r="G128" s="5" t="n">
        <v>1617</v>
      </c>
      <c r="H128" s="4" t="n">
        <v>61817.91</v>
      </c>
      <c r="I128" s="4" t="n">
        <v>18174.47</v>
      </c>
      <c r="J128" s="6" t="n">
        <v>0.294</v>
      </c>
      <c r="K128" s="3" t="inlineStr">
        <is>
          <t>In-store</t>
        </is>
      </c>
    </row>
    <row r="129">
      <c r="A129" s="7" t="n">
        <v>44678</v>
      </c>
      <c r="B129" s="8" t="inlineStr">
        <is>
          <t>Target</t>
        </is>
      </c>
      <c r="C129" s="8" t="inlineStr">
        <is>
          <t>Southeast</t>
        </is>
      </c>
      <c r="D129" s="8" t="inlineStr">
        <is>
          <t>North Carolina</t>
        </is>
      </c>
      <c r="E129" s="8" t="inlineStr">
        <is>
          <t>Women's Athletic Footwear</t>
        </is>
      </c>
      <c r="F129" s="9" t="n">
        <v>30.34</v>
      </c>
      <c r="G129" s="10" t="n">
        <v>1808</v>
      </c>
      <c r="H129" s="9" t="n">
        <v>54854.72</v>
      </c>
      <c r="I129" s="9" t="n">
        <v>24377.44</v>
      </c>
      <c r="J129" s="11" t="n">
        <v>0.4444</v>
      </c>
      <c r="K129" s="8" t="inlineStr">
        <is>
          <t>Outlet</t>
        </is>
      </c>
    </row>
    <row r="130">
      <c r="A130" s="2" t="n">
        <v>44083</v>
      </c>
      <c r="B130" s="3" t="inlineStr">
        <is>
          <t>Kohl's</t>
        </is>
      </c>
      <c r="C130" s="3" t="inlineStr">
        <is>
          <t>Southeast</t>
        </is>
      </c>
      <c r="D130" s="3" t="inlineStr">
        <is>
          <t>Florida</t>
        </is>
      </c>
      <c r="E130" s="3" t="inlineStr">
        <is>
          <t>Men's Street Footwear</t>
        </is>
      </c>
      <c r="F130" s="4" t="n">
        <v>31.78</v>
      </c>
      <c r="G130" s="5" t="n">
        <v>1667</v>
      </c>
      <c r="H130" s="4" t="n">
        <v>52977.26</v>
      </c>
      <c r="I130" s="4" t="n">
        <v>19919.45</v>
      </c>
      <c r="J130" s="6" t="n">
        <v>0.376</v>
      </c>
      <c r="K130" s="3" t="inlineStr">
        <is>
          <t>In-store</t>
        </is>
      </c>
    </row>
    <row r="131">
      <c r="A131" s="7" t="n">
        <v>44713</v>
      </c>
      <c r="B131" s="8" t="inlineStr">
        <is>
          <t>Foot Locker</t>
        </is>
      </c>
      <c r="C131" s="8" t="inlineStr">
        <is>
          <t>Southeast</t>
        </is>
      </c>
      <c r="D131" s="8" t="inlineStr">
        <is>
          <t>North Carolina</t>
        </is>
      </c>
      <c r="E131" s="8" t="inlineStr">
        <is>
          <t>Women's Athletic Footwear</t>
        </is>
      </c>
      <c r="F131" s="9" t="n">
        <v>80.52</v>
      </c>
      <c r="G131" s="10" t="n">
        <v>282</v>
      </c>
      <c r="H131" s="9" t="n">
        <v>22706.64</v>
      </c>
      <c r="I131" s="9" t="n">
        <v>8197.1</v>
      </c>
      <c r="J131" s="11" t="n">
        <v>0.361</v>
      </c>
      <c r="K131" s="8" t="inlineStr">
        <is>
          <t>Outlet</t>
        </is>
      </c>
    </row>
    <row r="132">
      <c r="A132" s="2" t="n">
        <v>44433</v>
      </c>
      <c r="B132" s="3" t="inlineStr">
        <is>
          <t>West Gear</t>
        </is>
      </c>
      <c r="C132" s="3" t="inlineStr">
        <is>
          <t>Midwest</t>
        </is>
      </c>
      <c r="D132" s="3" t="inlineStr">
        <is>
          <t>Minnesota</t>
        </is>
      </c>
      <c r="E132" s="3" t="inlineStr">
        <is>
          <t>Men's Street Footwear</t>
        </is>
      </c>
      <c r="F132" s="4" t="n">
        <v>90.45999999999999</v>
      </c>
      <c r="G132" s="5" t="n">
        <v>1986</v>
      </c>
      <c r="H132" s="4" t="n">
        <v>179653.56</v>
      </c>
      <c r="I132" s="4" t="n">
        <v>56644.77</v>
      </c>
      <c r="J132" s="6" t="n">
        <v>0.3153</v>
      </c>
      <c r="K132" s="3" t="inlineStr">
        <is>
          <t>Online</t>
        </is>
      </c>
    </row>
    <row r="133">
      <c r="A133" s="7" t="n">
        <v>44882</v>
      </c>
      <c r="B133" s="8" t="inlineStr">
        <is>
          <t>Kohl's</t>
        </is>
      </c>
      <c r="C133" s="8" t="inlineStr">
        <is>
          <t>Midwest</t>
        </is>
      </c>
      <c r="D133" s="8" t="inlineStr">
        <is>
          <t>Wisconsin</t>
        </is>
      </c>
      <c r="E133" s="8" t="inlineStr">
        <is>
          <t>Men's Street Footwear</t>
        </is>
      </c>
      <c r="F133" s="9" t="n">
        <v>149.83</v>
      </c>
      <c r="G133" s="10" t="n">
        <v>1785</v>
      </c>
      <c r="H133" s="9" t="n">
        <v>267446.55</v>
      </c>
      <c r="I133" s="9" t="n">
        <v>64347.64</v>
      </c>
      <c r="J133" s="11" t="n">
        <v>0.2406</v>
      </c>
      <c r="K133" s="8" t="inlineStr">
        <is>
          <t>In-store</t>
        </is>
      </c>
    </row>
    <row r="134">
      <c r="A134" s="2" t="n">
        <v>44608</v>
      </c>
      <c r="B134" s="3" t="inlineStr">
        <is>
          <t>Foot Locker</t>
        </is>
      </c>
      <c r="C134" s="3" t="inlineStr">
        <is>
          <t>Southwest</t>
        </is>
      </c>
      <c r="D134" s="3" t="inlineStr">
        <is>
          <t>Texas</t>
        </is>
      </c>
      <c r="E134" s="3" t="inlineStr">
        <is>
          <t>Men's Athletic Footwear</t>
        </is>
      </c>
      <c r="F134" s="4" t="n">
        <v>47.8</v>
      </c>
      <c r="G134" s="5" t="n">
        <v>308</v>
      </c>
      <c r="H134" s="4" t="n">
        <v>14722.4</v>
      </c>
      <c r="I134" s="4" t="n">
        <v>2890.01</v>
      </c>
      <c r="J134" s="6" t="n">
        <v>0.1963</v>
      </c>
      <c r="K134" s="3" t="inlineStr">
        <is>
          <t>Outlet</t>
        </is>
      </c>
    </row>
    <row r="135">
      <c r="A135" s="7" t="n">
        <v>44852</v>
      </c>
      <c r="B135" s="8" t="inlineStr">
        <is>
          <t>West Gear</t>
        </is>
      </c>
      <c r="C135" s="8" t="inlineStr">
        <is>
          <t>Midwest</t>
        </is>
      </c>
      <c r="D135" s="8" t="inlineStr">
        <is>
          <t>Wisconsin</t>
        </is>
      </c>
      <c r="E135" s="8" t="inlineStr">
        <is>
          <t>Men's Apparel</t>
        </is>
      </c>
      <c r="F135" s="9" t="n">
        <v>84.45</v>
      </c>
      <c r="G135" s="10" t="n">
        <v>1289</v>
      </c>
      <c r="H135" s="9" t="n">
        <v>108856.05</v>
      </c>
      <c r="I135" s="9" t="n">
        <v>27279.33</v>
      </c>
      <c r="J135" s="11" t="n">
        <v>0.2506</v>
      </c>
      <c r="K135" s="8" t="inlineStr">
        <is>
          <t>Online</t>
        </is>
      </c>
    </row>
    <row r="136">
      <c r="A136" s="2" t="n">
        <v>44620</v>
      </c>
      <c r="B136" s="3" t="inlineStr">
        <is>
          <t>Walmart</t>
        </is>
      </c>
      <c r="C136" s="3" t="inlineStr">
        <is>
          <t>West</t>
        </is>
      </c>
      <c r="D136" s="3" t="inlineStr">
        <is>
          <t>Washington</t>
        </is>
      </c>
      <c r="E136" s="3" t="inlineStr">
        <is>
          <t>Women's Street Footwear</t>
        </is>
      </c>
      <c r="F136" s="4" t="n">
        <v>79.66</v>
      </c>
      <c r="G136" s="5" t="n">
        <v>1744</v>
      </c>
      <c r="H136" s="4" t="n">
        <v>138927.04</v>
      </c>
      <c r="I136" s="4" t="n">
        <v>35940.43</v>
      </c>
      <c r="J136" s="6" t="n">
        <v>0.2587</v>
      </c>
      <c r="K136" s="3" t="inlineStr">
        <is>
          <t>In-store</t>
        </is>
      </c>
    </row>
    <row r="137">
      <c r="A137" s="7" t="n">
        <v>44534</v>
      </c>
      <c r="B137" s="8" t="inlineStr">
        <is>
          <t>Sports Direct</t>
        </is>
      </c>
      <c r="C137" s="8" t="inlineStr">
        <is>
          <t>Midwest</t>
        </is>
      </c>
      <c r="D137" s="8" t="inlineStr">
        <is>
          <t>Wisconsin</t>
        </is>
      </c>
      <c r="E137" s="8" t="inlineStr">
        <is>
          <t>Women's Apparel</t>
        </is>
      </c>
      <c r="F137" s="9" t="n">
        <v>74.92</v>
      </c>
      <c r="G137" s="10" t="n">
        <v>362</v>
      </c>
      <c r="H137" s="9" t="n">
        <v>27121.04</v>
      </c>
      <c r="I137" s="9" t="n">
        <v>9232</v>
      </c>
      <c r="J137" s="11" t="n">
        <v>0.3404</v>
      </c>
      <c r="K137" s="8" t="inlineStr">
        <is>
          <t>Online</t>
        </is>
      </c>
    </row>
    <row r="138">
      <c r="A138" s="2" t="n">
        <v>44230</v>
      </c>
      <c r="B138" s="3" t="inlineStr">
        <is>
          <t>Walmart</t>
        </is>
      </c>
      <c r="C138" s="3" t="inlineStr">
        <is>
          <t>Northeast</t>
        </is>
      </c>
      <c r="D138" s="3" t="inlineStr">
        <is>
          <t>New York</t>
        </is>
      </c>
      <c r="E138" s="3" t="inlineStr">
        <is>
          <t>Men's Street Footwear</t>
        </is>
      </c>
      <c r="F138" s="4" t="n">
        <v>118.66</v>
      </c>
      <c r="G138" s="5" t="n">
        <v>1712</v>
      </c>
      <c r="H138" s="4" t="n">
        <v>203145.92</v>
      </c>
      <c r="I138" s="4" t="n">
        <v>29557.73</v>
      </c>
      <c r="J138" s="6" t="n">
        <v>0.1455</v>
      </c>
      <c r="K138" s="3" t="inlineStr">
        <is>
          <t>Outlet</t>
        </is>
      </c>
    </row>
    <row r="139">
      <c r="A139" s="7" t="n">
        <v>44122</v>
      </c>
      <c r="B139" s="8" t="inlineStr">
        <is>
          <t>Kohl's</t>
        </is>
      </c>
      <c r="C139" s="8" t="inlineStr">
        <is>
          <t>West</t>
        </is>
      </c>
      <c r="D139" s="8" t="inlineStr">
        <is>
          <t>Oregon</t>
        </is>
      </c>
      <c r="E139" s="8" t="inlineStr">
        <is>
          <t>Men's Street Footwear</t>
        </is>
      </c>
      <c r="F139" s="9" t="n">
        <v>72.43000000000001</v>
      </c>
      <c r="G139" s="10" t="n">
        <v>1412</v>
      </c>
      <c r="H139" s="9" t="n">
        <v>102271.16</v>
      </c>
      <c r="I139" s="9" t="n">
        <v>43915.24</v>
      </c>
      <c r="J139" s="11" t="n">
        <v>0.4294</v>
      </c>
      <c r="K139" s="8" t="inlineStr">
        <is>
          <t>Online</t>
        </is>
      </c>
    </row>
    <row r="140">
      <c r="A140" s="2" t="n">
        <v>44532</v>
      </c>
      <c r="B140" s="3" t="inlineStr">
        <is>
          <t>Sports Direct</t>
        </is>
      </c>
      <c r="C140" s="3" t="inlineStr">
        <is>
          <t>Midwest</t>
        </is>
      </c>
      <c r="D140" s="3" t="inlineStr">
        <is>
          <t>Minnesota</t>
        </is>
      </c>
      <c r="E140" s="3" t="inlineStr">
        <is>
          <t>Men's Athletic Footwear</t>
        </is>
      </c>
      <c r="F140" s="4" t="n">
        <v>99.34999999999999</v>
      </c>
      <c r="G140" s="5" t="n">
        <v>485</v>
      </c>
      <c r="H140" s="4" t="n">
        <v>48184.75</v>
      </c>
      <c r="I140" s="4" t="n">
        <v>7430.09</v>
      </c>
      <c r="J140" s="6" t="n">
        <v>0.1542</v>
      </c>
      <c r="K140" s="3" t="inlineStr">
        <is>
          <t>In-store</t>
        </is>
      </c>
    </row>
    <row r="141">
      <c r="A141" s="7" t="n">
        <v>44314</v>
      </c>
      <c r="B141" s="8" t="inlineStr">
        <is>
          <t>Target</t>
        </is>
      </c>
      <c r="C141" s="8" t="inlineStr">
        <is>
          <t>Northeast</t>
        </is>
      </c>
      <c r="D141" s="8" t="inlineStr">
        <is>
          <t>Massachusetts</t>
        </is>
      </c>
      <c r="E141" s="8" t="inlineStr">
        <is>
          <t>Men's Apparel</t>
        </is>
      </c>
      <c r="F141" s="9" t="n">
        <v>43.79</v>
      </c>
      <c r="G141" s="10" t="n">
        <v>620</v>
      </c>
      <c r="H141" s="9" t="n">
        <v>27149.8</v>
      </c>
      <c r="I141" s="9" t="n">
        <v>8169.37</v>
      </c>
      <c r="J141" s="11" t="n">
        <v>0.3009</v>
      </c>
      <c r="K141" s="8" t="inlineStr">
        <is>
          <t>Online</t>
        </is>
      </c>
    </row>
    <row r="142">
      <c r="A142" s="2" t="n">
        <v>44464</v>
      </c>
      <c r="B142" s="3" t="inlineStr">
        <is>
          <t>Kohl's</t>
        </is>
      </c>
      <c r="C142" s="3" t="inlineStr">
        <is>
          <t>West</t>
        </is>
      </c>
      <c r="D142" s="3" t="inlineStr">
        <is>
          <t>Utah</t>
        </is>
      </c>
      <c r="E142" s="3" t="inlineStr">
        <is>
          <t>Women's Apparel</t>
        </is>
      </c>
      <c r="F142" s="4" t="n">
        <v>33.15</v>
      </c>
      <c r="G142" s="5" t="n">
        <v>1952</v>
      </c>
      <c r="H142" s="4" t="n">
        <v>64708.8</v>
      </c>
      <c r="I142" s="4" t="n">
        <v>21366.85</v>
      </c>
      <c r="J142" s="6" t="n">
        <v>0.3302</v>
      </c>
      <c r="K142" s="3" t="inlineStr">
        <is>
          <t>Outlet</t>
        </is>
      </c>
    </row>
    <row r="143">
      <c r="A143" s="7" t="n">
        <v>44682</v>
      </c>
      <c r="B143" s="8" t="inlineStr">
        <is>
          <t>Kohl's</t>
        </is>
      </c>
      <c r="C143" s="8" t="inlineStr">
        <is>
          <t>Southeast</t>
        </is>
      </c>
      <c r="D143" s="8" t="inlineStr">
        <is>
          <t>North Carolina</t>
        </is>
      </c>
      <c r="E143" s="8" t="inlineStr">
        <is>
          <t>Men's Athletic Footwear</t>
        </is>
      </c>
      <c r="F143" s="9" t="n">
        <v>72.12</v>
      </c>
      <c r="G143" s="10" t="n">
        <v>421</v>
      </c>
      <c r="H143" s="9" t="n">
        <v>30362.52</v>
      </c>
      <c r="I143" s="9" t="n">
        <v>12281.64</v>
      </c>
      <c r="J143" s="11" t="n">
        <v>0.4045</v>
      </c>
      <c r="K143" s="8" t="inlineStr">
        <is>
          <t>Online</t>
        </is>
      </c>
    </row>
    <row r="144">
      <c r="A144" s="2" t="n">
        <v>44878</v>
      </c>
      <c r="B144" s="3" t="inlineStr">
        <is>
          <t>Kohl's</t>
        </is>
      </c>
      <c r="C144" s="3" t="inlineStr">
        <is>
          <t>Northeast</t>
        </is>
      </c>
      <c r="D144" s="3" t="inlineStr">
        <is>
          <t>Pennsylvania</t>
        </is>
      </c>
      <c r="E144" s="3" t="inlineStr">
        <is>
          <t>Women's Apparel</t>
        </is>
      </c>
      <c r="F144" s="4" t="n">
        <v>41.01</v>
      </c>
      <c r="G144" s="5" t="n">
        <v>1136</v>
      </c>
      <c r="H144" s="4" t="n">
        <v>46587.36</v>
      </c>
      <c r="I144" s="4" t="n">
        <v>8166.76</v>
      </c>
      <c r="J144" s="6" t="n">
        <v>0.1753</v>
      </c>
      <c r="K144" s="3" t="inlineStr">
        <is>
          <t>In-store</t>
        </is>
      </c>
    </row>
    <row r="145">
      <c r="A145" s="7" t="n">
        <v>44419</v>
      </c>
      <c r="B145" s="8" t="inlineStr">
        <is>
          <t>Sports Direct</t>
        </is>
      </c>
      <c r="C145" s="8" t="inlineStr">
        <is>
          <t>Southeast</t>
        </is>
      </c>
      <c r="D145" s="8" t="inlineStr">
        <is>
          <t>North Carolina</t>
        </is>
      </c>
      <c r="E145" s="8" t="inlineStr">
        <is>
          <t>Women's Apparel</t>
        </is>
      </c>
      <c r="F145" s="9" t="n">
        <v>123.22</v>
      </c>
      <c r="G145" s="10" t="n">
        <v>1212</v>
      </c>
      <c r="H145" s="9" t="n">
        <v>149342.64</v>
      </c>
      <c r="I145" s="9" t="n">
        <v>46102.07</v>
      </c>
      <c r="J145" s="11" t="n">
        <v>0.3087</v>
      </c>
      <c r="K145" s="8" t="inlineStr">
        <is>
          <t>Online</t>
        </is>
      </c>
    </row>
    <row r="146">
      <c r="A146" s="2" t="n">
        <v>43896</v>
      </c>
      <c r="B146" s="3" t="inlineStr">
        <is>
          <t>Kohl's</t>
        </is>
      </c>
      <c r="C146" s="3" t="inlineStr">
        <is>
          <t>West</t>
        </is>
      </c>
      <c r="D146" s="3" t="inlineStr">
        <is>
          <t>California</t>
        </is>
      </c>
      <c r="E146" s="3" t="inlineStr">
        <is>
          <t>Men's Street Footwear</t>
        </is>
      </c>
      <c r="F146" s="4" t="n">
        <v>83.17</v>
      </c>
      <c r="G146" s="5" t="n">
        <v>918</v>
      </c>
      <c r="H146" s="4" t="n">
        <v>76350.06</v>
      </c>
      <c r="I146" s="4" t="n">
        <v>20614.52</v>
      </c>
      <c r="J146" s="6" t="n">
        <v>0.27</v>
      </c>
      <c r="K146" s="3" t="inlineStr">
        <is>
          <t>Online</t>
        </is>
      </c>
    </row>
    <row r="147">
      <c r="A147" s="7" t="n">
        <v>44386</v>
      </c>
      <c r="B147" s="8" t="inlineStr">
        <is>
          <t>Foot Locker</t>
        </is>
      </c>
      <c r="C147" s="8" t="inlineStr">
        <is>
          <t>Southeast</t>
        </is>
      </c>
      <c r="D147" s="8" t="inlineStr">
        <is>
          <t>Tennessee</t>
        </is>
      </c>
      <c r="E147" s="8" t="inlineStr">
        <is>
          <t>Men's Athletic Footwear</t>
        </is>
      </c>
      <c r="F147" s="9" t="n">
        <v>43.31</v>
      </c>
      <c r="G147" s="10" t="n">
        <v>1438</v>
      </c>
      <c r="H147" s="9" t="n">
        <v>62279.78</v>
      </c>
      <c r="I147" s="9" t="n">
        <v>21019.43</v>
      </c>
      <c r="J147" s="11" t="n">
        <v>0.3375</v>
      </c>
      <c r="K147" s="8" t="inlineStr">
        <is>
          <t>Online</t>
        </is>
      </c>
    </row>
    <row r="148">
      <c r="A148" s="2" t="n">
        <v>44461</v>
      </c>
      <c r="B148" s="3" t="inlineStr">
        <is>
          <t>Amazon</t>
        </is>
      </c>
      <c r="C148" s="3" t="inlineStr">
        <is>
          <t>Midwest</t>
        </is>
      </c>
      <c r="D148" s="3" t="inlineStr">
        <is>
          <t>Illinois</t>
        </is>
      </c>
      <c r="E148" s="3" t="inlineStr">
        <is>
          <t>Women's Street Footwear</t>
        </is>
      </c>
      <c r="F148" s="4" t="n">
        <v>36.57</v>
      </c>
      <c r="G148" s="5" t="n">
        <v>468</v>
      </c>
      <c r="H148" s="4" t="n">
        <v>17114.76</v>
      </c>
      <c r="I148" s="4" t="n">
        <v>3517.08</v>
      </c>
      <c r="J148" s="6" t="n">
        <v>0.2055</v>
      </c>
      <c r="K148" s="3" t="inlineStr">
        <is>
          <t>Outlet</t>
        </is>
      </c>
    </row>
    <row r="149">
      <c r="A149" s="7" t="n">
        <v>43915</v>
      </c>
      <c r="B149" s="8" t="inlineStr">
        <is>
          <t>Sports Direct</t>
        </is>
      </c>
      <c r="C149" s="8" t="inlineStr">
        <is>
          <t>Midwest</t>
        </is>
      </c>
      <c r="D149" s="8" t="inlineStr">
        <is>
          <t>Michigan</t>
        </is>
      </c>
      <c r="E149" s="8" t="inlineStr">
        <is>
          <t>Men's Street Footwear</t>
        </is>
      </c>
      <c r="F149" s="9" t="n">
        <v>89.69</v>
      </c>
      <c r="G149" s="10" t="n">
        <v>931</v>
      </c>
      <c r="H149" s="9" t="n">
        <v>83501.39</v>
      </c>
      <c r="I149" s="9" t="n">
        <v>13485.47</v>
      </c>
      <c r="J149" s="11" t="n">
        <v>0.1615</v>
      </c>
      <c r="K149" s="8" t="inlineStr">
        <is>
          <t>In-store</t>
        </is>
      </c>
    </row>
    <row r="150">
      <c r="A150" s="2" t="n">
        <v>44462</v>
      </c>
      <c r="B150" s="3" t="inlineStr">
        <is>
          <t>West Gear</t>
        </is>
      </c>
      <c r="C150" s="3" t="inlineStr">
        <is>
          <t>Southeast</t>
        </is>
      </c>
      <c r="D150" s="3" t="inlineStr">
        <is>
          <t>Tennessee</t>
        </is>
      </c>
      <c r="E150" s="3" t="inlineStr">
        <is>
          <t>Women's Apparel</t>
        </is>
      </c>
      <c r="F150" s="4" t="n">
        <v>38.65</v>
      </c>
      <c r="G150" s="5" t="n">
        <v>1814</v>
      </c>
      <c r="H150" s="4" t="n">
        <v>70111.10000000001</v>
      </c>
      <c r="I150" s="4" t="n">
        <v>25218.96</v>
      </c>
      <c r="J150" s="6" t="n">
        <v>0.3597</v>
      </c>
      <c r="K150" s="3" t="inlineStr">
        <is>
          <t>Online</t>
        </is>
      </c>
    </row>
    <row r="151">
      <c r="A151" s="7" t="n">
        <v>44211</v>
      </c>
      <c r="B151" s="8" t="inlineStr">
        <is>
          <t>West Gear</t>
        </is>
      </c>
      <c r="C151" s="8" t="inlineStr">
        <is>
          <t>Northeast</t>
        </is>
      </c>
      <c r="D151" s="8" t="inlineStr">
        <is>
          <t>Massachusetts</t>
        </is>
      </c>
      <c r="E151" s="8" t="inlineStr">
        <is>
          <t>Women's Street Footwear</t>
        </is>
      </c>
      <c r="F151" s="9" t="n">
        <v>78.53</v>
      </c>
      <c r="G151" s="10" t="n">
        <v>1361</v>
      </c>
      <c r="H151" s="9" t="n">
        <v>106879.33</v>
      </c>
      <c r="I151" s="9" t="n">
        <v>26313.69</v>
      </c>
      <c r="J151" s="11" t="n">
        <v>0.2462</v>
      </c>
      <c r="K151" s="8" t="inlineStr">
        <is>
          <t>Outlet</t>
        </is>
      </c>
    </row>
    <row r="152">
      <c r="A152" s="2" t="n">
        <v>44013</v>
      </c>
      <c r="B152" s="3" t="inlineStr">
        <is>
          <t>Target</t>
        </is>
      </c>
      <c r="C152" s="3" t="inlineStr">
        <is>
          <t>Midwest</t>
        </is>
      </c>
      <c r="D152" s="3" t="inlineStr">
        <is>
          <t>Ohio</t>
        </is>
      </c>
      <c r="E152" s="3" t="inlineStr">
        <is>
          <t>Men's Apparel</t>
        </is>
      </c>
      <c r="F152" s="4" t="n">
        <v>129.84</v>
      </c>
      <c r="G152" s="5" t="n">
        <v>1933</v>
      </c>
      <c r="H152" s="4" t="n">
        <v>250980.72</v>
      </c>
      <c r="I152" s="4" t="n">
        <v>56872.23</v>
      </c>
      <c r="J152" s="6" t="n">
        <v>0.2266</v>
      </c>
      <c r="K152" s="3" t="inlineStr">
        <is>
          <t>Online</t>
        </is>
      </c>
    </row>
    <row r="153">
      <c r="A153" s="7" t="n">
        <v>44235</v>
      </c>
      <c r="B153" s="8" t="inlineStr">
        <is>
          <t>Walmart</t>
        </is>
      </c>
      <c r="C153" s="8" t="inlineStr">
        <is>
          <t>Southwest</t>
        </is>
      </c>
      <c r="D153" s="8" t="inlineStr">
        <is>
          <t>New Mexico</t>
        </is>
      </c>
      <c r="E153" s="8" t="inlineStr">
        <is>
          <t>Men's Apparel</t>
        </is>
      </c>
      <c r="F153" s="9" t="n">
        <v>77.48999999999999</v>
      </c>
      <c r="G153" s="10" t="n">
        <v>685</v>
      </c>
      <c r="H153" s="9" t="n">
        <v>53080.65</v>
      </c>
      <c r="I153" s="9" t="n">
        <v>19162.11</v>
      </c>
      <c r="J153" s="11" t="n">
        <v>0.361</v>
      </c>
      <c r="K153" s="8" t="inlineStr">
        <is>
          <t>In-store</t>
        </is>
      </c>
    </row>
    <row r="154">
      <c r="A154" s="2" t="n">
        <v>44007</v>
      </c>
      <c r="B154" s="3" t="inlineStr">
        <is>
          <t>West Gear</t>
        </is>
      </c>
      <c r="C154" s="3" t="inlineStr">
        <is>
          <t>Southeast</t>
        </is>
      </c>
      <c r="D154" s="3" t="inlineStr">
        <is>
          <t>Florida</t>
        </is>
      </c>
      <c r="E154" s="3" t="inlineStr">
        <is>
          <t>Women's Apparel</t>
        </is>
      </c>
      <c r="F154" s="4" t="n">
        <v>93.67</v>
      </c>
      <c r="G154" s="5" t="n">
        <v>447</v>
      </c>
      <c r="H154" s="4" t="n">
        <v>41870.49</v>
      </c>
      <c r="I154" s="4" t="n">
        <v>17464.18</v>
      </c>
      <c r="J154" s="6" t="n">
        <v>0.4171</v>
      </c>
      <c r="K154" s="3" t="inlineStr">
        <is>
          <t>In-store</t>
        </is>
      </c>
    </row>
    <row r="155">
      <c r="A155" s="7" t="n">
        <v>44371</v>
      </c>
      <c r="B155" s="8" t="inlineStr">
        <is>
          <t>Foot Locker</t>
        </is>
      </c>
      <c r="C155" s="8" t="inlineStr">
        <is>
          <t>Southeast</t>
        </is>
      </c>
      <c r="D155" s="8" t="inlineStr">
        <is>
          <t>Georgia</t>
        </is>
      </c>
      <c r="E155" s="8" t="inlineStr">
        <is>
          <t>Women's Athletic Footwear</t>
        </is>
      </c>
      <c r="F155" s="9" t="n">
        <v>53.67</v>
      </c>
      <c r="G155" s="10" t="n">
        <v>1283</v>
      </c>
      <c r="H155" s="9" t="n">
        <v>68858.61</v>
      </c>
      <c r="I155" s="9" t="n">
        <v>10569.8</v>
      </c>
      <c r="J155" s="11" t="n">
        <v>0.1535</v>
      </c>
      <c r="K155" s="8" t="inlineStr">
        <is>
          <t>Online</t>
        </is>
      </c>
    </row>
    <row r="156">
      <c r="A156" s="2" t="n">
        <v>44598</v>
      </c>
      <c r="B156" s="3" t="inlineStr">
        <is>
          <t>Target</t>
        </is>
      </c>
      <c r="C156" s="3" t="inlineStr">
        <is>
          <t>Southwest</t>
        </is>
      </c>
      <c r="D156" s="3" t="inlineStr">
        <is>
          <t>Oklahoma</t>
        </is>
      </c>
      <c r="E156" s="3" t="inlineStr">
        <is>
          <t>Men's Apparel</t>
        </is>
      </c>
      <c r="F156" s="4" t="n">
        <v>83.87</v>
      </c>
      <c r="G156" s="5" t="n">
        <v>1942</v>
      </c>
      <c r="H156" s="4" t="n">
        <v>162875.54</v>
      </c>
      <c r="I156" s="4" t="n">
        <v>66567.23</v>
      </c>
      <c r="J156" s="6" t="n">
        <v>0.4087</v>
      </c>
      <c r="K156" s="3" t="inlineStr">
        <is>
          <t>Outlet</t>
        </is>
      </c>
    </row>
    <row r="157">
      <c r="A157" s="7" t="n">
        <v>44885</v>
      </c>
      <c r="B157" s="8" t="inlineStr">
        <is>
          <t>Amazon</t>
        </is>
      </c>
      <c r="C157" s="8" t="inlineStr">
        <is>
          <t>Midwest</t>
        </is>
      </c>
      <c r="D157" s="8" t="inlineStr">
        <is>
          <t>Michigan</t>
        </is>
      </c>
      <c r="E157" s="8" t="inlineStr">
        <is>
          <t>Women's Street Footwear</t>
        </is>
      </c>
      <c r="F157" s="9" t="n">
        <v>86.27</v>
      </c>
      <c r="G157" s="10" t="n">
        <v>1343</v>
      </c>
      <c r="H157" s="9" t="n">
        <v>115860.61</v>
      </c>
      <c r="I157" s="9" t="n">
        <v>23867.29</v>
      </c>
      <c r="J157" s="11" t="n">
        <v>0.206</v>
      </c>
      <c r="K157" s="8" t="inlineStr">
        <is>
          <t>In-store</t>
        </is>
      </c>
    </row>
    <row r="158">
      <c r="A158" s="2" t="n">
        <v>44471</v>
      </c>
      <c r="B158" s="3" t="inlineStr">
        <is>
          <t>Foot Locker</t>
        </is>
      </c>
      <c r="C158" s="3" t="inlineStr">
        <is>
          <t>Midwest</t>
        </is>
      </c>
      <c r="D158" s="3" t="inlineStr">
        <is>
          <t>Minnesota</t>
        </is>
      </c>
      <c r="E158" s="3" t="inlineStr">
        <is>
          <t>Men's Athletic Footwear</t>
        </is>
      </c>
      <c r="F158" s="4" t="n">
        <v>84.23</v>
      </c>
      <c r="G158" s="5" t="n">
        <v>166</v>
      </c>
      <c r="H158" s="4" t="n">
        <v>13982.18</v>
      </c>
      <c r="I158" s="4" t="n">
        <v>3203.32</v>
      </c>
      <c r="J158" s="6" t="n">
        <v>0.2291</v>
      </c>
      <c r="K158" s="3" t="inlineStr">
        <is>
          <t>Online</t>
        </is>
      </c>
    </row>
    <row r="159">
      <c r="A159" s="7" t="n">
        <v>44248</v>
      </c>
      <c r="B159" s="8" t="inlineStr">
        <is>
          <t>West Gear</t>
        </is>
      </c>
      <c r="C159" s="8" t="inlineStr">
        <is>
          <t>Northeast</t>
        </is>
      </c>
      <c r="D159" s="8" t="inlineStr">
        <is>
          <t>Connecticut</t>
        </is>
      </c>
      <c r="E159" s="8" t="inlineStr">
        <is>
          <t>Men's Apparel</t>
        </is>
      </c>
      <c r="F159" s="9" t="n">
        <v>85.53</v>
      </c>
      <c r="G159" s="10" t="n">
        <v>1185</v>
      </c>
      <c r="H159" s="9" t="n">
        <v>101353.05</v>
      </c>
      <c r="I159" s="9" t="n">
        <v>43987.22</v>
      </c>
      <c r="J159" s="11" t="n">
        <v>0.434</v>
      </c>
      <c r="K159" s="8" t="inlineStr">
        <is>
          <t>Online</t>
        </is>
      </c>
    </row>
    <row r="160">
      <c r="A160" s="2" t="n">
        <v>44576</v>
      </c>
      <c r="B160" s="3" t="inlineStr">
        <is>
          <t>Sports Direct</t>
        </is>
      </c>
      <c r="C160" s="3" t="inlineStr">
        <is>
          <t>West</t>
        </is>
      </c>
      <c r="D160" s="3" t="inlineStr">
        <is>
          <t>Washington</t>
        </is>
      </c>
      <c r="E160" s="3" t="inlineStr">
        <is>
          <t>Men's Apparel</t>
        </is>
      </c>
      <c r="F160" s="4" t="n">
        <v>90.16</v>
      </c>
      <c r="G160" s="5" t="n">
        <v>176</v>
      </c>
      <c r="H160" s="4" t="n">
        <v>15868.16</v>
      </c>
      <c r="I160" s="4" t="n">
        <v>4089.22</v>
      </c>
      <c r="J160" s="6" t="n">
        <v>0.2577</v>
      </c>
      <c r="K160" s="3" t="inlineStr">
        <is>
          <t>Online</t>
        </is>
      </c>
    </row>
    <row r="161">
      <c r="A161" s="7" t="n">
        <v>44533</v>
      </c>
      <c r="B161" s="8" t="inlineStr">
        <is>
          <t>Foot Locker</t>
        </is>
      </c>
      <c r="C161" s="8" t="inlineStr">
        <is>
          <t>West</t>
        </is>
      </c>
      <c r="D161" s="8" t="inlineStr">
        <is>
          <t>Washington</t>
        </is>
      </c>
      <c r="E161" s="8" t="inlineStr">
        <is>
          <t>Women's Athletic Footwear</t>
        </is>
      </c>
      <c r="F161" s="9" t="n">
        <v>82.53</v>
      </c>
      <c r="G161" s="10" t="n">
        <v>949</v>
      </c>
      <c r="H161" s="9" t="n">
        <v>78320.97</v>
      </c>
      <c r="I161" s="9" t="n">
        <v>22196.16</v>
      </c>
      <c r="J161" s="11" t="n">
        <v>0.2834</v>
      </c>
      <c r="K161" s="8" t="inlineStr">
        <is>
          <t>Outlet</t>
        </is>
      </c>
    </row>
    <row r="162">
      <c r="A162" s="2" t="n">
        <v>44632</v>
      </c>
      <c r="B162" s="3" t="inlineStr">
        <is>
          <t>Walmart</t>
        </is>
      </c>
      <c r="C162" s="3" t="inlineStr">
        <is>
          <t>Midwest</t>
        </is>
      </c>
      <c r="D162" s="3" t="inlineStr">
        <is>
          <t>Michigan</t>
        </is>
      </c>
      <c r="E162" s="3" t="inlineStr">
        <is>
          <t>Women's Street Footwear</t>
        </is>
      </c>
      <c r="F162" s="4" t="n">
        <v>111.47</v>
      </c>
      <c r="G162" s="5" t="n">
        <v>157</v>
      </c>
      <c r="H162" s="4" t="n">
        <v>17500.79</v>
      </c>
      <c r="I162" s="4" t="n">
        <v>6583.8</v>
      </c>
      <c r="J162" s="6" t="n">
        <v>0.3762</v>
      </c>
      <c r="K162" s="3" t="inlineStr">
        <is>
          <t>Online</t>
        </is>
      </c>
    </row>
    <row r="163">
      <c r="A163" s="7" t="n">
        <v>44715</v>
      </c>
      <c r="B163" s="8" t="inlineStr">
        <is>
          <t>West Gear</t>
        </is>
      </c>
      <c r="C163" s="8" t="inlineStr">
        <is>
          <t>Midwest</t>
        </is>
      </c>
      <c r="D163" s="8" t="inlineStr">
        <is>
          <t>Illinois</t>
        </is>
      </c>
      <c r="E163" s="8" t="inlineStr">
        <is>
          <t>Women's Apparel</t>
        </is>
      </c>
      <c r="F163" s="9" t="n">
        <v>64.09999999999999</v>
      </c>
      <c r="G163" s="10" t="n">
        <v>1532</v>
      </c>
      <c r="H163" s="9" t="n">
        <v>98201.2</v>
      </c>
      <c r="I163" s="9" t="n">
        <v>39084.08</v>
      </c>
      <c r="J163" s="11" t="n">
        <v>0.398</v>
      </c>
      <c r="K163" s="8" t="inlineStr">
        <is>
          <t>Online</t>
        </is>
      </c>
    </row>
    <row r="164">
      <c r="A164" s="2" t="n">
        <v>44631</v>
      </c>
      <c r="B164" s="3" t="inlineStr">
        <is>
          <t>Kohl's</t>
        </is>
      </c>
      <c r="C164" s="3" t="inlineStr">
        <is>
          <t>Northeast</t>
        </is>
      </c>
      <c r="D164" s="3" t="inlineStr">
        <is>
          <t>Connecticut</t>
        </is>
      </c>
      <c r="E164" s="3" t="inlineStr">
        <is>
          <t>Women's Athletic Footwear</t>
        </is>
      </c>
      <c r="F164" s="4" t="n">
        <v>67.23</v>
      </c>
      <c r="G164" s="5" t="n">
        <v>1393</v>
      </c>
      <c r="H164" s="4" t="n">
        <v>93651.39</v>
      </c>
      <c r="I164" s="4" t="n">
        <v>32262.9</v>
      </c>
      <c r="J164" s="6" t="n">
        <v>0.3445</v>
      </c>
      <c r="K164" s="3" t="inlineStr">
        <is>
          <t>Online</t>
        </is>
      </c>
    </row>
    <row r="165">
      <c r="A165" s="7" t="n">
        <v>44275</v>
      </c>
      <c r="B165" s="8" t="inlineStr">
        <is>
          <t>West Gear</t>
        </is>
      </c>
      <c r="C165" s="8" t="inlineStr">
        <is>
          <t>Northeast</t>
        </is>
      </c>
      <c r="D165" s="8" t="inlineStr">
        <is>
          <t>Massachusetts</t>
        </is>
      </c>
      <c r="E165" s="8" t="inlineStr">
        <is>
          <t>Women's Street Footwear</t>
        </is>
      </c>
      <c r="F165" s="9" t="n">
        <v>125</v>
      </c>
      <c r="G165" s="10" t="n">
        <v>1715</v>
      </c>
      <c r="H165" s="9" t="n">
        <v>214375</v>
      </c>
      <c r="I165" s="9" t="n">
        <v>31020.06</v>
      </c>
      <c r="J165" s="11" t="n">
        <v>0.1447</v>
      </c>
      <c r="K165" s="8" t="inlineStr">
        <is>
          <t>Outlet</t>
        </is>
      </c>
    </row>
    <row r="166">
      <c r="A166" s="2" t="n">
        <v>44917</v>
      </c>
      <c r="B166" s="3" t="inlineStr">
        <is>
          <t>Kohl's</t>
        </is>
      </c>
      <c r="C166" s="3" t="inlineStr">
        <is>
          <t>West</t>
        </is>
      </c>
      <c r="D166" s="3" t="inlineStr">
        <is>
          <t>California</t>
        </is>
      </c>
      <c r="E166" s="3" t="inlineStr">
        <is>
          <t>Women's Apparel</t>
        </is>
      </c>
      <c r="F166" s="4" t="n">
        <v>91.02</v>
      </c>
      <c r="G166" s="5" t="n">
        <v>87</v>
      </c>
      <c r="H166" s="4" t="n">
        <v>7918.74</v>
      </c>
      <c r="I166" s="4" t="n">
        <v>1796.76</v>
      </c>
      <c r="J166" s="6" t="n">
        <v>0.2269</v>
      </c>
      <c r="K166" s="3" t="inlineStr">
        <is>
          <t>Online</t>
        </is>
      </c>
    </row>
    <row r="167">
      <c r="A167" s="7" t="n">
        <v>43932</v>
      </c>
      <c r="B167" s="8" t="inlineStr">
        <is>
          <t>Amazon</t>
        </is>
      </c>
      <c r="C167" s="8" t="inlineStr">
        <is>
          <t>Southwest</t>
        </is>
      </c>
      <c r="D167" s="8" t="inlineStr">
        <is>
          <t>Arizona</t>
        </is>
      </c>
      <c r="E167" s="8" t="inlineStr">
        <is>
          <t>Women's Athletic Footwear</t>
        </is>
      </c>
      <c r="F167" s="9" t="n">
        <v>39.26</v>
      </c>
      <c r="G167" s="10" t="n">
        <v>1779</v>
      </c>
      <c r="H167" s="9" t="n">
        <v>69843.53999999999</v>
      </c>
      <c r="I167" s="9" t="n">
        <v>26247.2</v>
      </c>
      <c r="J167" s="11" t="n">
        <v>0.3758</v>
      </c>
      <c r="K167" s="8" t="inlineStr">
        <is>
          <t>In-store</t>
        </is>
      </c>
    </row>
    <row r="168">
      <c r="A168" s="2" t="n">
        <v>44831</v>
      </c>
      <c r="B168" s="3" t="inlineStr">
        <is>
          <t>Kohl's</t>
        </is>
      </c>
      <c r="C168" s="3" t="inlineStr">
        <is>
          <t>West</t>
        </is>
      </c>
      <c r="D168" s="3" t="inlineStr">
        <is>
          <t>California</t>
        </is>
      </c>
      <c r="E168" s="3" t="inlineStr">
        <is>
          <t>Men's Athletic Footwear</t>
        </is>
      </c>
      <c r="F168" s="4" t="n">
        <v>45.73</v>
      </c>
      <c r="G168" s="5" t="n">
        <v>821</v>
      </c>
      <c r="H168" s="4" t="n">
        <v>37544.33</v>
      </c>
      <c r="I168" s="4" t="n">
        <v>5781.83</v>
      </c>
      <c r="J168" s="6" t="n">
        <v>0.154</v>
      </c>
      <c r="K168" s="3" t="inlineStr">
        <is>
          <t>Outlet</t>
        </is>
      </c>
    </row>
    <row r="169">
      <c r="A169" s="7" t="n">
        <v>44190</v>
      </c>
      <c r="B169" s="8" t="inlineStr">
        <is>
          <t>Kohl's</t>
        </is>
      </c>
      <c r="C169" s="8" t="inlineStr">
        <is>
          <t>West</t>
        </is>
      </c>
      <c r="D169" s="8" t="inlineStr">
        <is>
          <t>Washington</t>
        </is>
      </c>
      <c r="E169" s="8" t="inlineStr">
        <is>
          <t>Women's Street Footwear</t>
        </is>
      </c>
      <c r="F169" s="9" t="n">
        <v>79.3</v>
      </c>
      <c r="G169" s="10" t="n">
        <v>1435</v>
      </c>
      <c r="H169" s="9" t="n">
        <v>113795.5</v>
      </c>
      <c r="I169" s="9" t="n">
        <v>40044.64</v>
      </c>
      <c r="J169" s="11" t="n">
        <v>0.3519</v>
      </c>
      <c r="K169" s="8" t="inlineStr">
        <is>
          <t>In-store</t>
        </is>
      </c>
    </row>
    <row r="170">
      <c r="A170" s="2" t="n">
        <v>44479</v>
      </c>
      <c r="B170" s="3" t="inlineStr">
        <is>
          <t>West Gear</t>
        </is>
      </c>
      <c r="C170" s="3" t="inlineStr">
        <is>
          <t>Southwest</t>
        </is>
      </c>
      <c r="D170" s="3" t="inlineStr">
        <is>
          <t>Arizona</t>
        </is>
      </c>
      <c r="E170" s="3" t="inlineStr">
        <is>
          <t>Women's Athletic Footwear</t>
        </is>
      </c>
      <c r="F170" s="4" t="n">
        <v>145.87</v>
      </c>
      <c r="G170" s="5" t="n">
        <v>1656</v>
      </c>
      <c r="H170" s="4" t="n">
        <v>241560.72</v>
      </c>
      <c r="I170" s="4" t="n">
        <v>63820.34</v>
      </c>
      <c r="J170" s="6" t="n">
        <v>0.2642</v>
      </c>
      <c r="K170" s="3" t="inlineStr">
        <is>
          <t>Online</t>
        </is>
      </c>
    </row>
    <row r="171">
      <c r="A171" s="7" t="n">
        <v>44004</v>
      </c>
      <c r="B171" s="8" t="inlineStr">
        <is>
          <t>Walmart</t>
        </is>
      </c>
      <c r="C171" s="8" t="inlineStr">
        <is>
          <t>West</t>
        </is>
      </c>
      <c r="D171" s="8" t="inlineStr">
        <is>
          <t>Colorado</t>
        </is>
      </c>
      <c r="E171" s="8" t="inlineStr">
        <is>
          <t>Men's Athletic Footwear</t>
        </is>
      </c>
      <c r="F171" s="9" t="n">
        <v>90.34999999999999</v>
      </c>
      <c r="G171" s="10" t="n">
        <v>907</v>
      </c>
      <c r="H171" s="9" t="n">
        <v>81947.45</v>
      </c>
      <c r="I171" s="9" t="n">
        <v>35909.37</v>
      </c>
      <c r="J171" s="11" t="n">
        <v>0.4382</v>
      </c>
      <c r="K171" s="8" t="inlineStr">
        <is>
          <t>Online</t>
        </is>
      </c>
    </row>
    <row r="172">
      <c r="A172" s="2" t="n">
        <v>44109</v>
      </c>
      <c r="B172" s="3" t="inlineStr">
        <is>
          <t>Kohl's</t>
        </is>
      </c>
      <c r="C172" s="3" t="inlineStr">
        <is>
          <t>Midwest</t>
        </is>
      </c>
      <c r="D172" s="3" t="inlineStr">
        <is>
          <t>Illinois</t>
        </is>
      </c>
      <c r="E172" s="3" t="inlineStr">
        <is>
          <t>Women's Street Footwear</t>
        </is>
      </c>
      <c r="F172" s="4" t="n">
        <v>96.54000000000001</v>
      </c>
      <c r="G172" s="5" t="n">
        <v>260</v>
      </c>
      <c r="H172" s="4" t="n">
        <v>25100.4</v>
      </c>
      <c r="I172" s="4" t="n">
        <v>8760.040000000001</v>
      </c>
      <c r="J172" s="6" t="n">
        <v>0.349</v>
      </c>
      <c r="K172" s="3" t="inlineStr">
        <is>
          <t>Online</t>
        </is>
      </c>
    </row>
    <row r="173">
      <c r="A173" s="7" t="n">
        <v>44602</v>
      </c>
      <c r="B173" s="8" t="inlineStr">
        <is>
          <t>Sports Direct</t>
        </is>
      </c>
      <c r="C173" s="8" t="inlineStr">
        <is>
          <t>Northeast</t>
        </is>
      </c>
      <c r="D173" s="8" t="inlineStr">
        <is>
          <t>Pennsylvania</t>
        </is>
      </c>
      <c r="E173" s="8" t="inlineStr">
        <is>
          <t>Women's Street Footwear</t>
        </is>
      </c>
      <c r="F173" s="9" t="n">
        <v>47.68</v>
      </c>
      <c r="G173" s="10" t="n">
        <v>945</v>
      </c>
      <c r="H173" s="9" t="n">
        <v>45057.6</v>
      </c>
      <c r="I173" s="9" t="n">
        <v>5952.11</v>
      </c>
      <c r="J173" s="11" t="n">
        <v>0.1321</v>
      </c>
      <c r="K173" s="8" t="inlineStr">
        <is>
          <t>Outlet</t>
        </is>
      </c>
    </row>
    <row r="174">
      <c r="A174" s="2" t="n">
        <v>44055</v>
      </c>
      <c r="B174" s="3" t="inlineStr">
        <is>
          <t>Foot Locker</t>
        </is>
      </c>
      <c r="C174" s="3" t="inlineStr">
        <is>
          <t>Northeast</t>
        </is>
      </c>
      <c r="D174" s="3" t="inlineStr">
        <is>
          <t>New Jersey</t>
        </is>
      </c>
      <c r="E174" s="3" t="inlineStr">
        <is>
          <t>Women's Street Footwear</t>
        </is>
      </c>
      <c r="F174" s="4" t="n">
        <v>74.88</v>
      </c>
      <c r="G174" s="5" t="n">
        <v>840</v>
      </c>
      <c r="H174" s="4" t="n">
        <v>62899.2</v>
      </c>
      <c r="I174" s="4" t="n">
        <v>28185.13</v>
      </c>
      <c r="J174" s="6" t="n">
        <v>0.4481</v>
      </c>
      <c r="K174" s="3" t="inlineStr">
        <is>
          <t>Outlet</t>
        </is>
      </c>
    </row>
    <row r="175">
      <c r="A175" s="7" t="n">
        <v>44287</v>
      </c>
      <c r="B175" s="8" t="inlineStr">
        <is>
          <t>Target</t>
        </is>
      </c>
      <c r="C175" s="8" t="inlineStr">
        <is>
          <t>Midwest</t>
        </is>
      </c>
      <c r="D175" s="8" t="inlineStr">
        <is>
          <t>Illinois</t>
        </is>
      </c>
      <c r="E175" s="8" t="inlineStr">
        <is>
          <t>Women's Apparel</t>
        </is>
      </c>
      <c r="F175" s="9" t="n">
        <v>70.23</v>
      </c>
      <c r="G175" s="10" t="n">
        <v>349</v>
      </c>
      <c r="H175" s="9" t="n">
        <v>24510.27</v>
      </c>
      <c r="I175" s="9" t="n">
        <v>3632.42</v>
      </c>
      <c r="J175" s="11" t="n">
        <v>0.1482</v>
      </c>
      <c r="K175" s="8" t="inlineStr">
        <is>
          <t>Outlet</t>
        </is>
      </c>
    </row>
    <row r="176">
      <c r="A176" s="2" t="n">
        <v>44431</v>
      </c>
      <c r="B176" s="3" t="inlineStr">
        <is>
          <t>Walmart</t>
        </is>
      </c>
      <c r="C176" s="3" t="inlineStr">
        <is>
          <t>Southeast</t>
        </is>
      </c>
      <c r="D176" s="3" t="inlineStr">
        <is>
          <t>Virginia</t>
        </is>
      </c>
      <c r="E176" s="3" t="inlineStr">
        <is>
          <t>Men's Apparel</t>
        </is>
      </c>
      <c r="F176" s="4" t="n">
        <v>138.7</v>
      </c>
      <c r="G176" s="5" t="n">
        <v>88</v>
      </c>
      <c r="H176" s="4" t="n">
        <v>12205.6</v>
      </c>
      <c r="I176" s="4" t="n">
        <v>2314.18</v>
      </c>
      <c r="J176" s="6" t="n">
        <v>0.1896</v>
      </c>
      <c r="K176" s="3" t="inlineStr">
        <is>
          <t>In-store</t>
        </is>
      </c>
    </row>
    <row r="177">
      <c r="A177" s="7" t="n">
        <v>44098</v>
      </c>
      <c r="B177" s="8" t="inlineStr">
        <is>
          <t>Walmart</t>
        </is>
      </c>
      <c r="C177" s="8" t="inlineStr">
        <is>
          <t>West</t>
        </is>
      </c>
      <c r="D177" s="8" t="inlineStr">
        <is>
          <t>Utah</t>
        </is>
      </c>
      <c r="E177" s="8" t="inlineStr">
        <is>
          <t>Men's Street Footwear</t>
        </is>
      </c>
      <c r="F177" s="9" t="n">
        <v>58.52</v>
      </c>
      <c r="G177" s="10" t="n">
        <v>299</v>
      </c>
      <c r="H177" s="9" t="n">
        <v>17497.48</v>
      </c>
      <c r="I177" s="9" t="n">
        <v>2041.96</v>
      </c>
      <c r="J177" s="11" t="n">
        <v>0.1167</v>
      </c>
      <c r="K177" s="8" t="inlineStr">
        <is>
          <t>Online</t>
        </is>
      </c>
    </row>
    <row r="178">
      <c r="A178" s="2" t="n">
        <v>44526</v>
      </c>
      <c r="B178" s="3" t="inlineStr">
        <is>
          <t>Foot Locker</t>
        </is>
      </c>
      <c r="C178" s="3" t="inlineStr">
        <is>
          <t>West</t>
        </is>
      </c>
      <c r="D178" s="3" t="inlineStr">
        <is>
          <t>Colorado</t>
        </is>
      </c>
      <c r="E178" s="3" t="inlineStr">
        <is>
          <t>Men's Street Footwear</t>
        </is>
      </c>
      <c r="F178" s="4" t="n">
        <v>101.61</v>
      </c>
      <c r="G178" s="5" t="n">
        <v>83</v>
      </c>
      <c r="H178" s="4" t="n">
        <v>8433.629999999999</v>
      </c>
      <c r="I178" s="4" t="n">
        <v>2708.88</v>
      </c>
      <c r="J178" s="6" t="n">
        <v>0.3212</v>
      </c>
      <c r="K178" s="3" t="inlineStr">
        <is>
          <t>Online</t>
        </is>
      </c>
    </row>
    <row r="179">
      <c r="A179" s="7" t="n">
        <v>44674</v>
      </c>
      <c r="B179" s="8" t="inlineStr">
        <is>
          <t>Walmart</t>
        </is>
      </c>
      <c r="C179" s="8" t="inlineStr">
        <is>
          <t>Southeast</t>
        </is>
      </c>
      <c r="D179" s="8" t="inlineStr">
        <is>
          <t>North Carolina</t>
        </is>
      </c>
      <c r="E179" s="8" t="inlineStr">
        <is>
          <t>Men's Street Footwear</t>
        </is>
      </c>
      <c r="F179" s="9" t="n">
        <v>72.34</v>
      </c>
      <c r="G179" s="10" t="n">
        <v>1218</v>
      </c>
      <c r="H179" s="9" t="n">
        <v>88110.12</v>
      </c>
      <c r="I179" s="9" t="n">
        <v>21657.47</v>
      </c>
      <c r="J179" s="11" t="n">
        <v>0.2458</v>
      </c>
      <c r="K179" s="8" t="inlineStr">
        <is>
          <t>Outlet</t>
        </is>
      </c>
    </row>
    <row r="180">
      <c r="A180" s="2" t="n">
        <v>44868</v>
      </c>
      <c r="B180" s="3" t="inlineStr">
        <is>
          <t>Foot Locker</t>
        </is>
      </c>
      <c r="C180" s="3" t="inlineStr">
        <is>
          <t>West</t>
        </is>
      </c>
      <c r="D180" s="3" t="inlineStr">
        <is>
          <t>Oregon</t>
        </is>
      </c>
      <c r="E180" s="3" t="inlineStr">
        <is>
          <t>Men's Apparel</t>
        </is>
      </c>
      <c r="F180" s="4" t="n">
        <v>90.88</v>
      </c>
      <c r="G180" s="5" t="n">
        <v>1089</v>
      </c>
      <c r="H180" s="4" t="n">
        <v>98968.32000000001</v>
      </c>
      <c r="I180" s="4" t="n">
        <v>29096.69</v>
      </c>
      <c r="J180" s="6" t="n">
        <v>0.294</v>
      </c>
      <c r="K180" s="3" t="inlineStr">
        <is>
          <t>Outlet</t>
        </is>
      </c>
    </row>
    <row r="181">
      <c r="A181" s="7" t="n">
        <v>44410</v>
      </c>
      <c r="B181" s="8" t="inlineStr">
        <is>
          <t>Sports Direct</t>
        </is>
      </c>
      <c r="C181" s="8" t="inlineStr">
        <is>
          <t>Southwest</t>
        </is>
      </c>
      <c r="D181" s="8" t="inlineStr">
        <is>
          <t>Nevada</t>
        </is>
      </c>
      <c r="E181" s="8" t="inlineStr">
        <is>
          <t>Women's Apparel</t>
        </is>
      </c>
      <c r="F181" s="9" t="n">
        <v>72.84999999999999</v>
      </c>
      <c r="G181" s="10" t="n">
        <v>188</v>
      </c>
      <c r="H181" s="9" t="n">
        <v>13695.8</v>
      </c>
      <c r="I181" s="9" t="n">
        <v>3022.66</v>
      </c>
      <c r="J181" s="11" t="n">
        <v>0.2207</v>
      </c>
      <c r="K181" s="8" t="inlineStr">
        <is>
          <t>In-store</t>
        </is>
      </c>
    </row>
    <row r="182">
      <c r="A182" s="2" t="n">
        <v>44886</v>
      </c>
      <c r="B182" s="3" t="inlineStr">
        <is>
          <t>Kohl's</t>
        </is>
      </c>
      <c r="C182" s="3" t="inlineStr">
        <is>
          <t>Northeast</t>
        </is>
      </c>
      <c r="D182" s="3" t="inlineStr">
        <is>
          <t>Connecticut</t>
        </is>
      </c>
      <c r="E182" s="3" t="inlineStr">
        <is>
          <t>Men's Athletic Footwear</t>
        </is>
      </c>
      <c r="F182" s="4" t="n">
        <v>35.32</v>
      </c>
      <c r="G182" s="5" t="n">
        <v>1168</v>
      </c>
      <c r="H182" s="4" t="n">
        <v>41253.76</v>
      </c>
      <c r="I182" s="4" t="n">
        <v>9013.950000000001</v>
      </c>
      <c r="J182" s="6" t="n">
        <v>0.2185</v>
      </c>
      <c r="K182" s="3" t="inlineStr">
        <is>
          <t>In-store</t>
        </is>
      </c>
    </row>
    <row r="183">
      <c r="A183" s="7" t="n">
        <v>44647</v>
      </c>
      <c r="B183" s="8" t="inlineStr">
        <is>
          <t>Kohl's</t>
        </is>
      </c>
      <c r="C183" s="8" t="inlineStr">
        <is>
          <t>Southwest</t>
        </is>
      </c>
      <c r="D183" s="8" t="inlineStr">
        <is>
          <t>Oklahoma</t>
        </is>
      </c>
      <c r="E183" s="8" t="inlineStr">
        <is>
          <t>Women's Athletic Footwear</t>
        </is>
      </c>
      <c r="F183" s="9" t="n">
        <v>37.57</v>
      </c>
      <c r="G183" s="10" t="n">
        <v>1639</v>
      </c>
      <c r="H183" s="9" t="n">
        <v>61577.23</v>
      </c>
      <c r="I183" s="9" t="n">
        <v>26496.68</v>
      </c>
      <c r="J183" s="11" t="n">
        <v>0.4303</v>
      </c>
      <c r="K183" s="8" t="inlineStr">
        <is>
          <t>In-store</t>
        </is>
      </c>
    </row>
    <row r="184">
      <c r="A184" s="2" t="n">
        <v>43958</v>
      </c>
      <c r="B184" s="3" t="inlineStr">
        <is>
          <t>Foot Locker</t>
        </is>
      </c>
      <c r="C184" s="3" t="inlineStr">
        <is>
          <t>Northeast</t>
        </is>
      </c>
      <c r="D184" s="3" t="inlineStr">
        <is>
          <t>Pennsylvania</t>
        </is>
      </c>
      <c r="E184" s="3" t="inlineStr">
        <is>
          <t>Men's Athletic Footwear</t>
        </is>
      </c>
      <c r="F184" s="4" t="n">
        <v>91.84999999999999</v>
      </c>
      <c r="G184" s="5" t="n">
        <v>1719</v>
      </c>
      <c r="H184" s="4" t="n">
        <v>157890.15</v>
      </c>
      <c r="I184" s="4" t="n">
        <v>45803.93</v>
      </c>
      <c r="J184" s="6" t="n">
        <v>0.2901</v>
      </c>
      <c r="K184" s="3" t="inlineStr">
        <is>
          <t>Online</t>
        </is>
      </c>
    </row>
    <row r="185">
      <c r="A185" s="7" t="n">
        <v>44221</v>
      </c>
      <c r="B185" s="8" t="inlineStr">
        <is>
          <t>Sports Direct</t>
        </is>
      </c>
      <c r="C185" s="8" t="inlineStr">
        <is>
          <t>Southeast</t>
        </is>
      </c>
      <c r="D185" s="8" t="inlineStr">
        <is>
          <t>North Carolina</t>
        </is>
      </c>
      <c r="E185" s="8" t="inlineStr">
        <is>
          <t>Men's Street Footwear</t>
        </is>
      </c>
      <c r="F185" s="9" t="n">
        <v>69.83</v>
      </c>
      <c r="G185" s="10" t="n">
        <v>304</v>
      </c>
      <c r="H185" s="9" t="n">
        <v>21228.32</v>
      </c>
      <c r="I185" s="9" t="n">
        <v>8062.52</v>
      </c>
      <c r="J185" s="11" t="n">
        <v>0.3798</v>
      </c>
      <c r="K185" s="8" t="inlineStr">
        <is>
          <t>Outlet</t>
        </is>
      </c>
    </row>
    <row r="186">
      <c r="A186" s="2" t="n">
        <v>44401</v>
      </c>
      <c r="B186" s="3" t="inlineStr">
        <is>
          <t>Sports Direct</t>
        </is>
      </c>
      <c r="C186" s="3" t="inlineStr">
        <is>
          <t>Southwest</t>
        </is>
      </c>
      <c r="D186" s="3" t="inlineStr">
        <is>
          <t>Oklahoma</t>
        </is>
      </c>
      <c r="E186" s="3" t="inlineStr">
        <is>
          <t>Women's Athletic Footwear</t>
        </is>
      </c>
      <c r="F186" s="4" t="n">
        <v>113.05</v>
      </c>
      <c r="G186" s="5" t="n">
        <v>802</v>
      </c>
      <c r="H186" s="4" t="n">
        <v>90666.10000000001</v>
      </c>
      <c r="I186" s="4" t="n">
        <v>38397.09</v>
      </c>
      <c r="J186" s="6" t="n">
        <v>0.4235</v>
      </c>
      <c r="K186" s="3" t="inlineStr">
        <is>
          <t>Online</t>
        </is>
      </c>
    </row>
    <row r="187">
      <c r="A187" s="7" t="n">
        <v>44707</v>
      </c>
      <c r="B187" s="8" t="inlineStr">
        <is>
          <t>Foot Locker</t>
        </is>
      </c>
      <c r="C187" s="8" t="inlineStr">
        <is>
          <t>Northeast</t>
        </is>
      </c>
      <c r="D187" s="8" t="inlineStr">
        <is>
          <t>New Jersey</t>
        </is>
      </c>
      <c r="E187" s="8" t="inlineStr">
        <is>
          <t>Women's Street Footwear</t>
        </is>
      </c>
      <c r="F187" s="9" t="n">
        <v>149.41</v>
      </c>
      <c r="G187" s="10" t="n">
        <v>419</v>
      </c>
      <c r="H187" s="9" t="n">
        <v>62602.79</v>
      </c>
      <c r="I187" s="9" t="n">
        <v>18211.15</v>
      </c>
      <c r="J187" s="11" t="n">
        <v>0.2909</v>
      </c>
      <c r="K187" s="8" t="inlineStr">
        <is>
          <t>Outlet</t>
        </is>
      </c>
    </row>
    <row r="188">
      <c r="A188" s="2" t="n">
        <v>44230</v>
      </c>
      <c r="B188" s="3" t="inlineStr">
        <is>
          <t>Sports Direct</t>
        </is>
      </c>
      <c r="C188" s="3" t="inlineStr">
        <is>
          <t>Midwest</t>
        </is>
      </c>
      <c r="D188" s="3" t="inlineStr">
        <is>
          <t>Michigan</t>
        </is>
      </c>
      <c r="E188" s="3" t="inlineStr">
        <is>
          <t>Women's Street Footwear</t>
        </is>
      </c>
      <c r="F188" s="4" t="n">
        <v>116.12</v>
      </c>
      <c r="G188" s="5" t="n">
        <v>391</v>
      </c>
      <c r="H188" s="4" t="n">
        <v>45402.92</v>
      </c>
      <c r="I188" s="4" t="n">
        <v>15500.56</v>
      </c>
      <c r="J188" s="6" t="n">
        <v>0.3414</v>
      </c>
      <c r="K188" s="3" t="inlineStr">
        <is>
          <t>Outlet</t>
        </is>
      </c>
    </row>
    <row r="189">
      <c r="A189" s="7" t="n">
        <v>44410</v>
      </c>
      <c r="B189" s="8" t="inlineStr">
        <is>
          <t>Walmart</t>
        </is>
      </c>
      <c r="C189" s="8" t="inlineStr">
        <is>
          <t>Midwest</t>
        </is>
      </c>
      <c r="D189" s="8" t="inlineStr">
        <is>
          <t>Minnesota</t>
        </is>
      </c>
      <c r="E189" s="8" t="inlineStr">
        <is>
          <t>Men's Athletic Footwear</t>
        </is>
      </c>
      <c r="F189" s="9" t="n">
        <v>147.6</v>
      </c>
      <c r="G189" s="10" t="n">
        <v>1991</v>
      </c>
      <c r="H189" s="9" t="n">
        <v>293871.6</v>
      </c>
      <c r="I189" s="9" t="n">
        <v>35293.98</v>
      </c>
      <c r="J189" s="11" t="n">
        <v>0.1201</v>
      </c>
      <c r="K189" s="8" t="inlineStr">
        <is>
          <t>Outlet</t>
        </is>
      </c>
    </row>
    <row r="190">
      <c r="A190" s="2" t="n">
        <v>44878</v>
      </c>
      <c r="B190" s="3" t="inlineStr">
        <is>
          <t>Target</t>
        </is>
      </c>
      <c r="C190" s="3" t="inlineStr">
        <is>
          <t>Midwest</t>
        </is>
      </c>
      <c r="D190" s="3" t="inlineStr">
        <is>
          <t>Minnesota</t>
        </is>
      </c>
      <c r="E190" s="3" t="inlineStr">
        <is>
          <t>Women's Apparel</t>
        </is>
      </c>
      <c r="F190" s="4" t="n">
        <v>49.2</v>
      </c>
      <c r="G190" s="5" t="n">
        <v>113</v>
      </c>
      <c r="H190" s="4" t="n">
        <v>5559.6</v>
      </c>
      <c r="I190" s="4" t="n">
        <v>833.9400000000001</v>
      </c>
      <c r="J190" s="6" t="n">
        <v>0.15</v>
      </c>
      <c r="K190" s="3" t="inlineStr">
        <is>
          <t>Outlet</t>
        </is>
      </c>
    </row>
    <row r="191">
      <c r="A191" s="7" t="n">
        <v>44891</v>
      </c>
      <c r="B191" s="8" t="inlineStr">
        <is>
          <t>Amazon</t>
        </is>
      </c>
      <c r="C191" s="8" t="inlineStr">
        <is>
          <t>Southwest</t>
        </is>
      </c>
      <c r="D191" s="8" t="inlineStr">
        <is>
          <t>Texas</t>
        </is>
      </c>
      <c r="E191" s="8" t="inlineStr">
        <is>
          <t>Men's Street Footwear</t>
        </is>
      </c>
      <c r="F191" s="9" t="n">
        <v>123.42</v>
      </c>
      <c r="G191" s="10" t="n">
        <v>800</v>
      </c>
      <c r="H191" s="9" t="n">
        <v>98736</v>
      </c>
      <c r="I191" s="9" t="n">
        <v>22393.32</v>
      </c>
      <c r="J191" s="11" t="n">
        <v>0.2268</v>
      </c>
      <c r="K191" s="8" t="inlineStr">
        <is>
          <t>In-store</t>
        </is>
      </c>
    </row>
    <row r="192">
      <c r="A192" s="2" t="n">
        <v>44581</v>
      </c>
      <c r="B192" s="3" t="inlineStr">
        <is>
          <t>Sports Direct</t>
        </is>
      </c>
      <c r="C192" s="3" t="inlineStr">
        <is>
          <t>Southeast</t>
        </is>
      </c>
      <c r="D192" s="3" t="inlineStr">
        <is>
          <t>Virginia</t>
        </is>
      </c>
      <c r="E192" s="3" t="inlineStr">
        <is>
          <t>Men's Athletic Footwear</t>
        </is>
      </c>
      <c r="F192" s="4" t="n">
        <v>121.57</v>
      </c>
      <c r="G192" s="5" t="n">
        <v>1225</v>
      </c>
      <c r="H192" s="4" t="n">
        <v>148923.25</v>
      </c>
      <c r="I192" s="4" t="n">
        <v>22070.43</v>
      </c>
      <c r="J192" s="6" t="n">
        <v>0.1482</v>
      </c>
      <c r="K192" s="3" t="inlineStr">
        <is>
          <t>Online</t>
        </is>
      </c>
    </row>
    <row r="193">
      <c r="A193" s="7" t="n">
        <v>44388</v>
      </c>
      <c r="B193" s="8" t="inlineStr">
        <is>
          <t>Foot Locker</t>
        </is>
      </c>
      <c r="C193" s="8" t="inlineStr">
        <is>
          <t>Midwest</t>
        </is>
      </c>
      <c r="D193" s="8" t="inlineStr">
        <is>
          <t>Ohio</t>
        </is>
      </c>
      <c r="E193" s="8" t="inlineStr">
        <is>
          <t>Men's Street Footwear</t>
        </is>
      </c>
      <c r="F193" s="9" t="n">
        <v>52.33</v>
      </c>
      <c r="G193" s="10" t="n">
        <v>1110</v>
      </c>
      <c r="H193" s="9" t="n">
        <v>58086.3</v>
      </c>
      <c r="I193" s="9" t="n">
        <v>13673.52</v>
      </c>
      <c r="J193" s="11" t="n">
        <v>0.2354</v>
      </c>
      <c r="K193" s="8" t="inlineStr">
        <is>
          <t>Outlet</t>
        </is>
      </c>
    </row>
    <row r="194">
      <c r="A194" s="2" t="n">
        <v>44601</v>
      </c>
      <c r="B194" s="3" t="inlineStr">
        <is>
          <t>Amazon</t>
        </is>
      </c>
      <c r="C194" s="3" t="inlineStr">
        <is>
          <t>Midwest</t>
        </is>
      </c>
      <c r="D194" s="3" t="inlineStr">
        <is>
          <t>Wisconsin</t>
        </is>
      </c>
      <c r="E194" s="3" t="inlineStr">
        <is>
          <t>Men's Apparel</t>
        </is>
      </c>
      <c r="F194" s="4" t="n">
        <v>113.28</v>
      </c>
      <c r="G194" s="5" t="n">
        <v>1055</v>
      </c>
      <c r="H194" s="4" t="n">
        <v>119510.4</v>
      </c>
      <c r="I194" s="4" t="n">
        <v>20328.72</v>
      </c>
      <c r="J194" s="6" t="n">
        <v>0.1701</v>
      </c>
      <c r="K194" s="3" t="inlineStr">
        <is>
          <t>Online</t>
        </is>
      </c>
    </row>
    <row r="195">
      <c r="A195" s="7" t="n">
        <v>43876</v>
      </c>
      <c r="B195" s="8" t="inlineStr">
        <is>
          <t>Foot Locker</t>
        </is>
      </c>
      <c r="C195" s="8" t="inlineStr">
        <is>
          <t>Southeast</t>
        </is>
      </c>
      <c r="D195" s="8" t="inlineStr">
        <is>
          <t>Virginia</t>
        </is>
      </c>
      <c r="E195" s="8" t="inlineStr">
        <is>
          <t>Women's Apparel</t>
        </is>
      </c>
      <c r="F195" s="9" t="n">
        <v>110.14</v>
      </c>
      <c r="G195" s="10" t="n">
        <v>1503</v>
      </c>
      <c r="H195" s="9" t="n">
        <v>165540.42</v>
      </c>
      <c r="I195" s="9" t="n">
        <v>20311.81</v>
      </c>
      <c r="J195" s="11" t="n">
        <v>0.1227</v>
      </c>
      <c r="K195" s="8" t="inlineStr">
        <is>
          <t>Online</t>
        </is>
      </c>
    </row>
    <row r="196">
      <c r="A196" s="2" t="n">
        <v>44691</v>
      </c>
      <c r="B196" s="3" t="inlineStr">
        <is>
          <t>Target</t>
        </is>
      </c>
      <c r="C196" s="3" t="inlineStr">
        <is>
          <t>Southeast</t>
        </is>
      </c>
      <c r="D196" s="3" t="inlineStr">
        <is>
          <t>Georgia</t>
        </is>
      </c>
      <c r="E196" s="3" t="inlineStr">
        <is>
          <t>Men's Athletic Footwear</t>
        </is>
      </c>
      <c r="F196" s="4" t="n">
        <v>56.91</v>
      </c>
      <c r="G196" s="5" t="n">
        <v>461</v>
      </c>
      <c r="H196" s="4" t="n">
        <v>26235.51</v>
      </c>
      <c r="I196" s="4" t="n">
        <v>9896.030000000001</v>
      </c>
      <c r="J196" s="6" t="n">
        <v>0.3772</v>
      </c>
      <c r="K196" s="3" t="inlineStr">
        <is>
          <t>Outlet</t>
        </is>
      </c>
    </row>
    <row r="197">
      <c r="A197" s="7" t="n">
        <v>44044</v>
      </c>
      <c r="B197" s="8" t="inlineStr">
        <is>
          <t>West Gear</t>
        </is>
      </c>
      <c r="C197" s="8" t="inlineStr">
        <is>
          <t>Midwest</t>
        </is>
      </c>
      <c r="D197" s="8" t="inlineStr">
        <is>
          <t>Minnesota</t>
        </is>
      </c>
      <c r="E197" s="8" t="inlineStr">
        <is>
          <t>Men's Athletic Footwear</t>
        </is>
      </c>
      <c r="F197" s="9" t="n">
        <v>126.44</v>
      </c>
      <c r="G197" s="10" t="n">
        <v>1179</v>
      </c>
      <c r="H197" s="9" t="n">
        <v>149072.76</v>
      </c>
      <c r="I197" s="9" t="n">
        <v>21675.18</v>
      </c>
      <c r="J197" s="11" t="n">
        <v>0.1454</v>
      </c>
      <c r="K197" s="8" t="inlineStr">
        <is>
          <t>Online</t>
        </is>
      </c>
    </row>
    <row r="198">
      <c r="A198" s="2" t="n">
        <v>43871</v>
      </c>
      <c r="B198" s="3" t="inlineStr">
        <is>
          <t>West Gear</t>
        </is>
      </c>
      <c r="C198" s="3" t="inlineStr">
        <is>
          <t>Southwest</t>
        </is>
      </c>
      <c r="D198" s="3" t="inlineStr">
        <is>
          <t>Oklahoma</t>
        </is>
      </c>
      <c r="E198" s="3" t="inlineStr">
        <is>
          <t>Women's Street Footwear</t>
        </is>
      </c>
      <c r="F198" s="4" t="n">
        <v>128.8</v>
      </c>
      <c r="G198" s="5" t="n">
        <v>201</v>
      </c>
      <c r="H198" s="4" t="n">
        <v>25888.8</v>
      </c>
      <c r="I198" s="4" t="n">
        <v>3725.4</v>
      </c>
      <c r="J198" s="6" t="n">
        <v>0.1439</v>
      </c>
      <c r="K198" s="3" t="inlineStr">
        <is>
          <t>Online</t>
        </is>
      </c>
    </row>
    <row r="199">
      <c r="A199" s="7" t="n">
        <v>44503</v>
      </c>
      <c r="B199" s="8" t="inlineStr">
        <is>
          <t>Kohl's</t>
        </is>
      </c>
      <c r="C199" s="8" t="inlineStr">
        <is>
          <t>Southwest</t>
        </is>
      </c>
      <c r="D199" s="8" t="inlineStr">
        <is>
          <t>Oklahoma</t>
        </is>
      </c>
      <c r="E199" s="8" t="inlineStr">
        <is>
          <t>Men's Apparel</t>
        </is>
      </c>
      <c r="F199" s="9" t="n">
        <v>45.4</v>
      </c>
      <c r="G199" s="10" t="n">
        <v>1747</v>
      </c>
      <c r="H199" s="9" t="n">
        <v>79313.8</v>
      </c>
      <c r="I199" s="9" t="n">
        <v>29591.98</v>
      </c>
      <c r="J199" s="11" t="n">
        <v>0.3731</v>
      </c>
      <c r="K199" s="8" t="inlineStr">
        <is>
          <t>Online</t>
        </is>
      </c>
    </row>
    <row r="200">
      <c r="A200" s="2" t="n">
        <v>44840</v>
      </c>
      <c r="B200" s="3" t="inlineStr">
        <is>
          <t>West Gear</t>
        </is>
      </c>
      <c r="C200" s="3" t="inlineStr">
        <is>
          <t>Southeast</t>
        </is>
      </c>
      <c r="D200" s="3" t="inlineStr">
        <is>
          <t>Virginia</t>
        </is>
      </c>
      <c r="E200" s="3" t="inlineStr">
        <is>
          <t>Men's Street Footwear</t>
        </is>
      </c>
      <c r="F200" s="4" t="n">
        <v>92.17</v>
      </c>
      <c r="G200" s="5" t="n">
        <v>672</v>
      </c>
      <c r="H200" s="4" t="n">
        <v>61938.24</v>
      </c>
      <c r="I200" s="4" t="n">
        <v>9761.469999999999</v>
      </c>
      <c r="J200" s="6" t="n">
        <v>0.1576</v>
      </c>
      <c r="K200" s="3" t="inlineStr">
        <is>
          <t>In-store</t>
        </is>
      </c>
    </row>
    <row r="201">
      <c r="A201" s="7" t="n">
        <v>44538</v>
      </c>
      <c r="B201" s="8" t="inlineStr">
        <is>
          <t>Sports Direct</t>
        </is>
      </c>
      <c r="C201" s="8" t="inlineStr">
        <is>
          <t>Midwest</t>
        </is>
      </c>
      <c r="D201" s="8" t="inlineStr">
        <is>
          <t>Minnesota</t>
        </is>
      </c>
      <c r="E201" s="8" t="inlineStr">
        <is>
          <t>Men's Street Footwear</t>
        </is>
      </c>
      <c r="F201" s="9" t="n">
        <v>53.56</v>
      </c>
      <c r="G201" s="10" t="n">
        <v>1178</v>
      </c>
      <c r="H201" s="9" t="n">
        <v>63093.68</v>
      </c>
      <c r="I201" s="9" t="n">
        <v>12372.67</v>
      </c>
      <c r="J201" s="11" t="n">
        <v>0.1961</v>
      </c>
      <c r="K201" s="8" t="inlineStr">
        <is>
          <t>Online</t>
        </is>
      </c>
    </row>
    <row r="202">
      <c r="A202" s="2" t="n">
        <v>44701</v>
      </c>
      <c r="B202" s="3" t="inlineStr">
        <is>
          <t>West Gear</t>
        </is>
      </c>
      <c r="C202" s="3" t="inlineStr">
        <is>
          <t>West</t>
        </is>
      </c>
      <c r="D202" s="3" t="inlineStr">
        <is>
          <t>California</t>
        </is>
      </c>
      <c r="E202" s="3" t="inlineStr">
        <is>
          <t>Women's Apparel</t>
        </is>
      </c>
      <c r="F202" s="4" t="n">
        <v>101.02</v>
      </c>
      <c r="G202" s="5" t="n">
        <v>1239</v>
      </c>
      <c r="H202" s="4" t="n">
        <v>125163.78</v>
      </c>
      <c r="I202" s="4" t="n">
        <v>19275.22</v>
      </c>
      <c r="J202" s="6" t="n">
        <v>0.154</v>
      </c>
      <c r="K202" s="3" t="inlineStr">
        <is>
          <t>In-store</t>
        </is>
      </c>
    </row>
    <row r="203">
      <c r="A203" s="7" t="n">
        <v>44858</v>
      </c>
      <c r="B203" s="8" t="inlineStr">
        <is>
          <t>Target</t>
        </is>
      </c>
      <c r="C203" s="8" t="inlineStr">
        <is>
          <t>West</t>
        </is>
      </c>
      <c r="D203" s="8" t="inlineStr">
        <is>
          <t>Oregon</t>
        </is>
      </c>
      <c r="E203" s="8" t="inlineStr">
        <is>
          <t>Men's Apparel</t>
        </is>
      </c>
      <c r="F203" s="9" t="n">
        <v>129.03</v>
      </c>
      <c r="G203" s="10" t="n">
        <v>108</v>
      </c>
      <c r="H203" s="9" t="n">
        <v>13935.24</v>
      </c>
      <c r="I203" s="9" t="n">
        <v>1789.28</v>
      </c>
      <c r="J203" s="11" t="n">
        <v>0.1284</v>
      </c>
      <c r="K203" s="8" t="inlineStr">
        <is>
          <t>In-store</t>
        </is>
      </c>
    </row>
    <row r="204">
      <c r="A204" s="2" t="n">
        <v>44843</v>
      </c>
      <c r="B204" s="3" t="inlineStr">
        <is>
          <t>Walmart</t>
        </is>
      </c>
      <c r="C204" s="3" t="inlineStr">
        <is>
          <t>Southeast</t>
        </is>
      </c>
      <c r="D204" s="3" t="inlineStr">
        <is>
          <t>Tennessee</t>
        </is>
      </c>
      <c r="E204" s="3" t="inlineStr">
        <is>
          <t>Men's Apparel</t>
        </is>
      </c>
      <c r="F204" s="4" t="n">
        <v>33.63</v>
      </c>
      <c r="G204" s="5" t="n">
        <v>1870</v>
      </c>
      <c r="H204" s="4" t="n">
        <v>62888.1</v>
      </c>
      <c r="I204" s="4" t="n">
        <v>20092.75</v>
      </c>
      <c r="J204" s="6" t="n">
        <v>0.3195</v>
      </c>
      <c r="K204" s="3" t="inlineStr">
        <is>
          <t>Outlet</t>
        </is>
      </c>
    </row>
    <row r="205">
      <c r="A205" s="7" t="n">
        <v>44510</v>
      </c>
      <c r="B205" s="8" t="inlineStr">
        <is>
          <t>Target</t>
        </is>
      </c>
      <c r="C205" s="8" t="inlineStr">
        <is>
          <t>Southwest</t>
        </is>
      </c>
      <c r="D205" s="8" t="inlineStr">
        <is>
          <t>Arizona</t>
        </is>
      </c>
      <c r="E205" s="8" t="inlineStr">
        <is>
          <t>Women's Apparel</t>
        </is>
      </c>
      <c r="F205" s="9" t="n">
        <v>65.69</v>
      </c>
      <c r="G205" s="10" t="n">
        <v>199</v>
      </c>
      <c r="H205" s="9" t="n">
        <v>13072.31</v>
      </c>
      <c r="I205" s="9" t="n">
        <v>4457.66</v>
      </c>
      <c r="J205" s="11" t="n">
        <v>0.341</v>
      </c>
      <c r="K205" s="8" t="inlineStr">
        <is>
          <t>Online</t>
        </is>
      </c>
    </row>
    <row r="206">
      <c r="A206" s="2" t="n">
        <v>44057</v>
      </c>
      <c r="B206" s="3" t="inlineStr">
        <is>
          <t>Amazon</t>
        </is>
      </c>
      <c r="C206" s="3" t="inlineStr">
        <is>
          <t>Southwest</t>
        </is>
      </c>
      <c r="D206" s="3" t="inlineStr">
        <is>
          <t>Oklahoma</t>
        </is>
      </c>
      <c r="E206" s="3" t="inlineStr">
        <is>
          <t>Men's Athletic Footwear</t>
        </is>
      </c>
      <c r="F206" s="4" t="n">
        <v>47.24</v>
      </c>
      <c r="G206" s="5" t="n">
        <v>1814</v>
      </c>
      <c r="H206" s="4" t="n">
        <v>85693.36</v>
      </c>
      <c r="I206" s="4" t="n">
        <v>30112.65</v>
      </c>
      <c r="J206" s="6" t="n">
        <v>0.3514</v>
      </c>
      <c r="K206" s="3" t="inlineStr">
        <is>
          <t>Outlet</t>
        </is>
      </c>
    </row>
    <row r="207">
      <c r="A207" s="7" t="n">
        <v>44725</v>
      </c>
      <c r="B207" s="8" t="inlineStr">
        <is>
          <t>West Gear</t>
        </is>
      </c>
      <c r="C207" s="8" t="inlineStr">
        <is>
          <t>Southeast</t>
        </is>
      </c>
      <c r="D207" s="8" t="inlineStr">
        <is>
          <t>North Carolina</t>
        </is>
      </c>
      <c r="E207" s="8" t="inlineStr">
        <is>
          <t>Men's Apparel</t>
        </is>
      </c>
      <c r="F207" s="9" t="n">
        <v>68.29000000000001</v>
      </c>
      <c r="G207" s="10" t="n">
        <v>1005</v>
      </c>
      <c r="H207" s="9" t="n">
        <v>68631.45</v>
      </c>
      <c r="I207" s="9" t="n">
        <v>9807.43</v>
      </c>
      <c r="J207" s="11" t="n">
        <v>0.1429</v>
      </c>
      <c r="K207" s="8" t="inlineStr">
        <is>
          <t>In-store</t>
        </is>
      </c>
    </row>
    <row r="208">
      <c r="A208" s="2" t="n">
        <v>44291</v>
      </c>
      <c r="B208" s="3" t="inlineStr">
        <is>
          <t>Sports Direct</t>
        </is>
      </c>
      <c r="C208" s="3" t="inlineStr">
        <is>
          <t>Northeast</t>
        </is>
      </c>
      <c r="D208" s="3" t="inlineStr">
        <is>
          <t>New York</t>
        </is>
      </c>
      <c r="E208" s="3" t="inlineStr">
        <is>
          <t>Women's Street Footwear</t>
        </is>
      </c>
      <c r="F208" s="4" t="n">
        <v>80.18000000000001</v>
      </c>
      <c r="G208" s="5" t="n">
        <v>1822</v>
      </c>
      <c r="H208" s="4" t="n">
        <v>146087.96</v>
      </c>
      <c r="I208" s="4" t="n">
        <v>60743.37</v>
      </c>
      <c r="J208" s="6" t="n">
        <v>0.4158</v>
      </c>
      <c r="K208" s="3" t="inlineStr">
        <is>
          <t>Outlet</t>
        </is>
      </c>
    </row>
    <row r="209">
      <c r="A209" s="7" t="n">
        <v>44493</v>
      </c>
      <c r="B209" s="8" t="inlineStr">
        <is>
          <t>Target</t>
        </is>
      </c>
      <c r="C209" s="8" t="inlineStr">
        <is>
          <t>Midwest</t>
        </is>
      </c>
      <c r="D209" s="8" t="inlineStr">
        <is>
          <t>Ohio</t>
        </is>
      </c>
      <c r="E209" s="8" t="inlineStr">
        <is>
          <t>Women's Athletic Footwear</t>
        </is>
      </c>
      <c r="F209" s="9" t="n">
        <v>149.52</v>
      </c>
      <c r="G209" s="10" t="n">
        <v>1006</v>
      </c>
      <c r="H209" s="9" t="n">
        <v>150417.12</v>
      </c>
      <c r="I209" s="9" t="n">
        <v>41304.54</v>
      </c>
      <c r="J209" s="11" t="n">
        <v>0.2746</v>
      </c>
      <c r="K209" s="8" t="inlineStr">
        <is>
          <t>Online</t>
        </is>
      </c>
    </row>
    <row r="210">
      <c r="A210" s="2" t="n">
        <v>44409</v>
      </c>
      <c r="B210" s="3" t="inlineStr">
        <is>
          <t>West Gear</t>
        </is>
      </c>
      <c r="C210" s="3" t="inlineStr">
        <is>
          <t>Northeast</t>
        </is>
      </c>
      <c r="D210" s="3" t="inlineStr">
        <is>
          <t>New Jersey</t>
        </is>
      </c>
      <c r="E210" s="3" t="inlineStr">
        <is>
          <t>Women's Street Footwear</t>
        </is>
      </c>
      <c r="F210" s="4" t="n">
        <v>55.82</v>
      </c>
      <c r="G210" s="5" t="n">
        <v>772</v>
      </c>
      <c r="H210" s="4" t="n">
        <v>43093.04</v>
      </c>
      <c r="I210" s="4" t="n">
        <v>5041.89</v>
      </c>
      <c r="J210" s="6" t="n">
        <v>0.117</v>
      </c>
      <c r="K210" s="3" t="inlineStr">
        <is>
          <t>In-store</t>
        </is>
      </c>
    </row>
    <row r="211">
      <c r="A211" s="7" t="n">
        <v>44428</v>
      </c>
      <c r="B211" s="8" t="inlineStr">
        <is>
          <t>West Gear</t>
        </is>
      </c>
      <c r="C211" s="8" t="inlineStr">
        <is>
          <t>Southwest</t>
        </is>
      </c>
      <c r="D211" s="8" t="inlineStr">
        <is>
          <t>Nevada</t>
        </is>
      </c>
      <c r="E211" s="8" t="inlineStr">
        <is>
          <t>Men's Street Footwear</t>
        </is>
      </c>
      <c r="F211" s="9" t="n">
        <v>81.70999999999999</v>
      </c>
      <c r="G211" s="10" t="n">
        <v>1857</v>
      </c>
      <c r="H211" s="9" t="n">
        <v>151735.47</v>
      </c>
      <c r="I211" s="9" t="n">
        <v>29224.25</v>
      </c>
      <c r="J211" s="11" t="n">
        <v>0.1926</v>
      </c>
      <c r="K211" s="8" t="inlineStr">
        <is>
          <t>In-store</t>
        </is>
      </c>
    </row>
    <row r="212">
      <c r="A212" s="2" t="n">
        <v>44389</v>
      </c>
      <c r="B212" s="3" t="inlineStr">
        <is>
          <t>Foot Locker</t>
        </is>
      </c>
      <c r="C212" s="3" t="inlineStr">
        <is>
          <t>Northeast</t>
        </is>
      </c>
      <c r="D212" s="3" t="inlineStr">
        <is>
          <t>New Jersey</t>
        </is>
      </c>
      <c r="E212" s="3" t="inlineStr">
        <is>
          <t>Men's Apparel</t>
        </is>
      </c>
      <c r="F212" s="4" t="n">
        <v>53.36</v>
      </c>
      <c r="G212" s="5" t="n">
        <v>1183</v>
      </c>
      <c r="H212" s="4" t="n">
        <v>63124.88</v>
      </c>
      <c r="I212" s="4" t="n">
        <v>12688.1</v>
      </c>
      <c r="J212" s="6" t="n">
        <v>0.201</v>
      </c>
      <c r="K212" s="3" t="inlineStr">
        <is>
          <t>Outlet</t>
        </is>
      </c>
    </row>
    <row r="213">
      <c r="A213" s="7" t="n">
        <v>44454</v>
      </c>
      <c r="B213" s="8" t="inlineStr">
        <is>
          <t>Target</t>
        </is>
      </c>
      <c r="C213" s="8" t="inlineStr">
        <is>
          <t>West</t>
        </is>
      </c>
      <c r="D213" s="8" t="inlineStr">
        <is>
          <t>Oregon</t>
        </is>
      </c>
      <c r="E213" s="8" t="inlineStr">
        <is>
          <t>Men's Apparel</t>
        </is>
      </c>
      <c r="F213" s="9" t="n">
        <v>103.33</v>
      </c>
      <c r="G213" s="10" t="n">
        <v>313</v>
      </c>
      <c r="H213" s="9" t="n">
        <v>32342.29</v>
      </c>
      <c r="I213" s="9" t="n">
        <v>14272.65</v>
      </c>
      <c r="J213" s="11" t="n">
        <v>0.4413</v>
      </c>
      <c r="K213" s="8" t="inlineStr">
        <is>
          <t>Outlet</t>
        </is>
      </c>
    </row>
    <row r="214">
      <c r="A214" s="2" t="n">
        <v>44373</v>
      </c>
      <c r="B214" s="3" t="inlineStr">
        <is>
          <t>Sports Direct</t>
        </is>
      </c>
      <c r="C214" s="3" t="inlineStr">
        <is>
          <t>Midwest</t>
        </is>
      </c>
      <c r="D214" s="3" t="inlineStr">
        <is>
          <t>Minnesota</t>
        </is>
      </c>
      <c r="E214" s="3" t="inlineStr">
        <is>
          <t>Women's Athletic Footwear</t>
        </is>
      </c>
      <c r="F214" s="4" t="n">
        <v>102.3</v>
      </c>
      <c r="G214" s="5" t="n">
        <v>872</v>
      </c>
      <c r="H214" s="4" t="n">
        <v>89205.60000000001</v>
      </c>
      <c r="I214" s="4" t="n">
        <v>24531.54</v>
      </c>
      <c r="J214" s="6" t="n">
        <v>0.275</v>
      </c>
      <c r="K214" s="3" t="inlineStr">
        <is>
          <t>In-store</t>
        </is>
      </c>
    </row>
    <row r="215">
      <c r="A215" s="7" t="n">
        <v>43835</v>
      </c>
      <c r="B215" s="8" t="inlineStr">
        <is>
          <t>West Gear</t>
        </is>
      </c>
      <c r="C215" s="8" t="inlineStr">
        <is>
          <t>Midwest</t>
        </is>
      </c>
      <c r="D215" s="8" t="inlineStr">
        <is>
          <t>Wisconsin</t>
        </is>
      </c>
      <c r="E215" s="8" t="inlineStr">
        <is>
          <t>Women's Street Footwear</t>
        </is>
      </c>
      <c r="F215" s="9" t="n">
        <v>102.75</v>
      </c>
      <c r="G215" s="10" t="n">
        <v>1105</v>
      </c>
      <c r="H215" s="9" t="n">
        <v>113538.75</v>
      </c>
      <c r="I215" s="9" t="n">
        <v>16905.92</v>
      </c>
      <c r="J215" s="11" t="n">
        <v>0.1489</v>
      </c>
      <c r="K215" s="8" t="inlineStr">
        <is>
          <t>In-store</t>
        </is>
      </c>
    </row>
    <row r="216">
      <c r="A216" s="2" t="n">
        <v>44718</v>
      </c>
      <c r="B216" s="3" t="inlineStr">
        <is>
          <t>Kohl's</t>
        </is>
      </c>
      <c r="C216" s="3" t="inlineStr">
        <is>
          <t>Southwest</t>
        </is>
      </c>
      <c r="D216" s="3" t="inlineStr">
        <is>
          <t>New Mexico</t>
        </is>
      </c>
      <c r="E216" s="3" t="inlineStr">
        <is>
          <t>Men's Athletic Footwear</t>
        </is>
      </c>
      <c r="F216" s="4" t="n">
        <v>70.36</v>
      </c>
      <c r="G216" s="5" t="n">
        <v>1746</v>
      </c>
      <c r="H216" s="4" t="n">
        <v>122848.56</v>
      </c>
      <c r="I216" s="4" t="n">
        <v>34201.04</v>
      </c>
      <c r="J216" s="6" t="n">
        <v>0.2784</v>
      </c>
      <c r="K216" s="3" t="inlineStr">
        <is>
          <t>Outlet</t>
        </is>
      </c>
    </row>
    <row r="217">
      <c r="A217" s="7" t="n">
        <v>44549</v>
      </c>
      <c r="B217" s="8" t="inlineStr">
        <is>
          <t>Target</t>
        </is>
      </c>
      <c r="C217" s="8" t="inlineStr">
        <is>
          <t>Midwest</t>
        </is>
      </c>
      <c r="D217" s="8" t="inlineStr">
        <is>
          <t>Wisconsin</t>
        </is>
      </c>
      <c r="E217" s="8" t="inlineStr">
        <is>
          <t>Men's Street Footwear</t>
        </is>
      </c>
      <c r="F217" s="9" t="n">
        <v>69.75</v>
      </c>
      <c r="G217" s="10" t="n">
        <v>274</v>
      </c>
      <c r="H217" s="9" t="n">
        <v>19111.5</v>
      </c>
      <c r="I217" s="9" t="n">
        <v>8466.389999999999</v>
      </c>
      <c r="J217" s="11" t="n">
        <v>0.443</v>
      </c>
      <c r="K217" s="8" t="inlineStr">
        <is>
          <t>Online</t>
        </is>
      </c>
    </row>
    <row r="218">
      <c r="A218" s="2" t="n">
        <v>44707</v>
      </c>
      <c r="B218" s="3" t="inlineStr">
        <is>
          <t>Walmart</t>
        </is>
      </c>
      <c r="C218" s="3" t="inlineStr">
        <is>
          <t>Northeast</t>
        </is>
      </c>
      <c r="D218" s="3" t="inlineStr">
        <is>
          <t>Connecticut</t>
        </is>
      </c>
      <c r="E218" s="3" t="inlineStr">
        <is>
          <t>Men's Athletic Footwear</t>
        </is>
      </c>
      <c r="F218" s="4" t="n">
        <v>123.95</v>
      </c>
      <c r="G218" s="5" t="n">
        <v>1639</v>
      </c>
      <c r="H218" s="4" t="n">
        <v>203154.05</v>
      </c>
      <c r="I218" s="4" t="n">
        <v>61454.1</v>
      </c>
      <c r="J218" s="6" t="n">
        <v>0.3025</v>
      </c>
      <c r="K218" s="3" t="inlineStr">
        <is>
          <t>Outlet</t>
        </is>
      </c>
    </row>
    <row r="219">
      <c r="A219" s="7" t="n">
        <v>44167</v>
      </c>
      <c r="B219" s="8" t="inlineStr">
        <is>
          <t>Amazon</t>
        </is>
      </c>
      <c r="C219" s="8" t="inlineStr">
        <is>
          <t>West</t>
        </is>
      </c>
      <c r="D219" s="8" t="inlineStr">
        <is>
          <t>Colorado</t>
        </is>
      </c>
      <c r="E219" s="8" t="inlineStr">
        <is>
          <t>Men's Apparel</t>
        </is>
      </c>
      <c r="F219" s="9" t="n">
        <v>116.54</v>
      </c>
      <c r="G219" s="10" t="n">
        <v>1636</v>
      </c>
      <c r="H219" s="9" t="n">
        <v>190659.44</v>
      </c>
      <c r="I219" s="9" t="n">
        <v>75196.08</v>
      </c>
      <c r="J219" s="11" t="n">
        <v>0.3944</v>
      </c>
      <c r="K219" s="8" t="inlineStr">
        <is>
          <t>Outlet</t>
        </is>
      </c>
    </row>
    <row r="220">
      <c r="A220" s="2" t="n">
        <v>44143</v>
      </c>
      <c r="B220" s="3" t="inlineStr">
        <is>
          <t>Kohl's</t>
        </is>
      </c>
      <c r="C220" s="3" t="inlineStr">
        <is>
          <t>Northeast</t>
        </is>
      </c>
      <c r="D220" s="3" t="inlineStr">
        <is>
          <t>Connecticut</t>
        </is>
      </c>
      <c r="E220" s="3" t="inlineStr">
        <is>
          <t>Men's Street Footwear</t>
        </is>
      </c>
      <c r="F220" s="4" t="n">
        <v>32.27</v>
      </c>
      <c r="G220" s="5" t="n">
        <v>692</v>
      </c>
      <c r="H220" s="4" t="n">
        <v>22330.84</v>
      </c>
      <c r="I220" s="4" t="n">
        <v>5506.79</v>
      </c>
      <c r="J220" s="6" t="n">
        <v>0.2466</v>
      </c>
      <c r="K220" s="3" t="inlineStr">
        <is>
          <t>In-store</t>
        </is>
      </c>
    </row>
    <row r="221">
      <c r="A221" s="7" t="n">
        <v>44537</v>
      </c>
      <c r="B221" s="8" t="inlineStr">
        <is>
          <t>Target</t>
        </is>
      </c>
      <c r="C221" s="8" t="inlineStr">
        <is>
          <t>Southwest</t>
        </is>
      </c>
      <c r="D221" s="8" t="inlineStr">
        <is>
          <t>New Mexico</t>
        </is>
      </c>
      <c r="E221" s="8" t="inlineStr">
        <is>
          <t>Men's Apparel</t>
        </is>
      </c>
      <c r="F221" s="9" t="n">
        <v>134.74</v>
      </c>
      <c r="G221" s="10" t="n">
        <v>1556</v>
      </c>
      <c r="H221" s="9" t="n">
        <v>209655.44</v>
      </c>
      <c r="I221" s="9" t="n">
        <v>74343.82000000001</v>
      </c>
      <c r="J221" s="11" t="n">
        <v>0.3546</v>
      </c>
      <c r="K221" s="8" t="inlineStr">
        <is>
          <t>Online</t>
        </is>
      </c>
    </row>
    <row r="222">
      <c r="A222" s="2" t="n">
        <v>44637</v>
      </c>
      <c r="B222" s="3" t="inlineStr">
        <is>
          <t>Sports Direct</t>
        </is>
      </c>
      <c r="C222" s="3" t="inlineStr">
        <is>
          <t>Southeast</t>
        </is>
      </c>
      <c r="D222" s="3" t="inlineStr">
        <is>
          <t>Tennessee</t>
        </is>
      </c>
      <c r="E222" s="3" t="inlineStr">
        <is>
          <t>Women's Apparel</t>
        </is>
      </c>
      <c r="F222" s="4" t="n">
        <v>93.06</v>
      </c>
      <c r="G222" s="5" t="n">
        <v>692</v>
      </c>
      <c r="H222" s="4" t="n">
        <v>64397.52</v>
      </c>
      <c r="I222" s="4" t="n">
        <v>28000.04</v>
      </c>
      <c r="J222" s="6" t="n">
        <v>0.4348</v>
      </c>
      <c r="K222" s="3" t="inlineStr">
        <is>
          <t>Online</t>
        </is>
      </c>
    </row>
    <row r="223">
      <c r="A223" s="7" t="n">
        <v>44450</v>
      </c>
      <c r="B223" s="8" t="inlineStr">
        <is>
          <t>Kohl's</t>
        </is>
      </c>
      <c r="C223" s="8" t="inlineStr">
        <is>
          <t>West</t>
        </is>
      </c>
      <c r="D223" s="8" t="inlineStr">
        <is>
          <t>Oregon</t>
        </is>
      </c>
      <c r="E223" s="8" t="inlineStr">
        <is>
          <t>Women's Apparel</t>
        </is>
      </c>
      <c r="F223" s="9" t="n">
        <v>107.2</v>
      </c>
      <c r="G223" s="10" t="n">
        <v>1469</v>
      </c>
      <c r="H223" s="9" t="n">
        <v>157476.8</v>
      </c>
      <c r="I223" s="9" t="n">
        <v>30314.28</v>
      </c>
      <c r="J223" s="11" t="n">
        <v>0.1925</v>
      </c>
      <c r="K223" s="8" t="inlineStr">
        <is>
          <t>Outlet</t>
        </is>
      </c>
    </row>
    <row r="224">
      <c r="A224" s="2" t="n">
        <v>44294</v>
      </c>
      <c r="B224" s="3" t="inlineStr">
        <is>
          <t>Sports Direct</t>
        </is>
      </c>
      <c r="C224" s="3" t="inlineStr">
        <is>
          <t>Midwest</t>
        </is>
      </c>
      <c r="D224" s="3" t="inlineStr">
        <is>
          <t>Minnesota</t>
        </is>
      </c>
      <c r="E224" s="3" t="inlineStr">
        <is>
          <t>Women's Athletic Footwear</t>
        </is>
      </c>
      <c r="F224" s="4" t="n">
        <v>122.54</v>
      </c>
      <c r="G224" s="5" t="n">
        <v>1493</v>
      </c>
      <c r="H224" s="4" t="n">
        <v>182952.22</v>
      </c>
      <c r="I224" s="4" t="n">
        <v>31559.26</v>
      </c>
      <c r="J224" s="6" t="n">
        <v>0.1725</v>
      </c>
      <c r="K224" s="3" t="inlineStr">
        <is>
          <t>Online</t>
        </is>
      </c>
    </row>
    <row r="225">
      <c r="A225" s="7" t="n">
        <v>44784</v>
      </c>
      <c r="B225" s="8" t="inlineStr">
        <is>
          <t>West Gear</t>
        </is>
      </c>
      <c r="C225" s="8" t="inlineStr">
        <is>
          <t>Southwest</t>
        </is>
      </c>
      <c r="D225" s="8" t="inlineStr">
        <is>
          <t>Nevada</t>
        </is>
      </c>
      <c r="E225" s="8" t="inlineStr">
        <is>
          <t>Women's Apparel</t>
        </is>
      </c>
      <c r="F225" s="9" t="n">
        <v>64.53</v>
      </c>
      <c r="G225" s="10" t="n">
        <v>1224</v>
      </c>
      <c r="H225" s="9" t="n">
        <v>78984.72</v>
      </c>
      <c r="I225" s="9" t="n">
        <v>26602.05</v>
      </c>
      <c r="J225" s="11" t="n">
        <v>0.3368</v>
      </c>
      <c r="K225" s="8" t="inlineStr">
        <is>
          <t>Online</t>
        </is>
      </c>
    </row>
    <row r="226">
      <c r="A226" s="2" t="n">
        <v>44404</v>
      </c>
      <c r="B226" s="3" t="inlineStr">
        <is>
          <t>Sports Direct</t>
        </is>
      </c>
      <c r="C226" s="3" t="inlineStr">
        <is>
          <t>Midwest</t>
        </is>
      </c>
      <c r="D226" s="3" t="inlineStr">
        <is>
          <t>Ohio</t>
        </is>
      </c>
      <c r="E226" s="3" t="inlineStr">
        <is>
          <t>Men's Street Footwear</t>
        </is>
      </c>
      <c r="F226" s="4" t="n">
        <v>144.64</v>
      </c>
      <c r="G226" s="5" t="n">
        <v>211</v>
      </c>
      <c r="H226" s="4" t="n">
        <v>30519.04</v>
      </c>
      <c r="I226" s="4" t="n">
        <v>6750.81</v>
      </c>
      <c r="J226" s="6" t="n">
        <v>0.2212</v>
      </c>
      <c r="K226" s="3" t="inlineStr">
        <is>
          <t>Online</t>
        </is>
      </c>
    </row>
    <row r="227">
      <c r="A227" s="7" t="n">
        <v>44509</v>
      </c>
      <c r="B227" s="8" t="inlineStr">
        <is>
          <t>Amazon</t>
        </is>
      </c>
      <c r="C227" s="8" t="inlineStr">
        <is>
          <t>Southwest</t>
        </is>
      </c>
      <c r="D227" s="8" t="inlineStr">
        <is>
          <t>Arizona</t>
        </is>
      </c>
      <c r="E227" s="8" t="inlineStr">
        <is>
          <t>Men's Apparel</t>
        </is>
      </c>
      <c r="F227" s="9" t="n">
        <v>141.96</v>
      </c>
      <c r="G227" s="10" t="n">
        <v>1475</v>
      </c>
      <c r="H227" s="9" t="n">
        <v>209391</v>
      </c>
      <c r="I227" s="9" t="n">
        <v>40852.18</v>
      </c>
      <c r="J227" s="11" t="n">
        <v>0.1951</v>
      </c>
      <c r="K227" s="8" t="inlineStr">
        <is>
          <t>Online</t>
        </is>
      </c>
    </row>
    <row r="228">
      <c r="A228" s="2" t="n">
        <v>44128</v>
      </c>
      <c r="B228" s="3" t="inlineStr">
        <is>
          <t>Amazon</t>
        </is>
      </c>
      <c r="C228" s="3" t="inlineStr">
        <is>
          <t>West</t>
        </is>
      </c>
      <c r="D228" s="3" t="inlineStr">
        <is>
          <t>Washington</t>
        </is>
      </c>
      <c r="E228" s="3" t="inlineStr">
        <is>
          <t>Men's Street Footwear</t>
        </is>
      </c>
      <c r="F228" s="4" t="n">
        <v>138.62</v>
      </c>
      <c r="G228" s="5" t="n">
        <v>512</v>
      </c>
      <c r="H228" s="4" t="n">
        <v>70973.44</v>
      </c>
      <c r="I228" s="4" t="n">
        <v>22945.71</v>
      </c>
      <c r="J228" s="6" t="n">
        <v>0.3233</v>
      </c>
      <c r="K228" s="3" t="inlineStr">
        <is>
          <t>Outlet</t>
        </is>
      </c>
    </row>
    <row r="229">
      <c r="A229" s="7" t="n">
        <v>43875</v>
      </c>
      <c r="B229" s="8" t="inlineStr">
        <is>
          <t>Foot Locker</t>
        </is>
      </c>
      <c r="C229" s="8" t="inlineStr">
        <is>
          <t>Midwest</t>
        </is>
      </c>
      <c r="D229" s="8" t="inlineStr">
        <is>
          <t>Wisconsin</t>
        </is>
      </c>
      <c r="E229" s="8" t="inlineStr">
        <is>
          <t>Women's Apparel</t>
        </is>
      </c>
      <c r="F229" s="9" t="n">
        <v>30.62</v>
      </c>
      <c r="G229" s="10" t="n">
        <v>1177</v>
      </c>
      <c r="H229" s="9" t="n">
        <v>36039.74</v>
      </c>
      <c r="I229" s="9" t="n">
        <v>15940.38</v>
      </c>
      <c r="J229" s="11" t="n">
        <v>0.4423</v>
      </c>
      <c r="K229" s="8" t="inlineStr">
        <is>
          <t>In-store</t>
        </is>
      </c>
    </row>
    <row r="230">
      <c r="A230" s="2" t="n">
        <v>44033</v>
      </c>
      <c r="B230" s="3" t="inlineStr">
        <is>
          <t>Kohl's</t>
        </is>
      </c>
      <c r="C230" s="3" t="inlineStr">
        <is>
          <t>Southwest</t>
        </is>
      </c>
      <c r="D230" s="3" t="inlineStr">
        <is>
          <t>Oklahoma</t>
        </is>
      </c>
      <c r="E230" s="3" t="inlineStr">
        <is>
          <t>Women's Athletic Footwear</t>
        </is>
      </c>
      <c r="F230" s="4" t="n">
        <v>68.54000000000001</v>
      </c>
      <c r="G230" s="5" t="n">
        <v>1372</v>
      </c>
      <c r="H230" s="4" t="n">
        <v>94036.88</v>
      </c>
      <c r="I230" s="4" t="n">
        <v>11350.25</v>
      </c>
      <c r="J230" s="6" t="n">
        <v>0.1207</v>
      </c>
      <c r="K230" s="3" t="inlineStr">
        <is>
          <t>Online</t>
        </is>
      </c>
    </row>
    <row r="231">
      <c r="A231" s="7" t="n">
        <v>44154</v>
      </c>
      <c r="B231" s="8" t="inlineStr">
        <is>
          <t>Kohl's</t>
        </is>
      </c>
      <c r="C231" s="8" t="inlineStr">
        <is>
          <t>Southeast</t>
        </is>
      </c>
      <c r="D231" s="8" t="inlineStr">
        <is>
          <t>Tennessee</t>
        </is>
      </c>
      <c r="E231" s="8" t="inlineStr">
        <is>
          <t>Women's Apparel</t>
        </is>
      </c>
      <c r="F231" s="9" t="n">
        <v>139.59</v>
      </c>
      <c r="G231" s="10" t="n">
        <v>408</v>
      </c>
      <c r="H231" s="9" t="n">
        <v>56952.72</v>
      </c>
      <c r="I231" s="9" t="n">
        <v>14027.45</v>
      </c>
      <c r="J231" s="11" t="n">
        <v>0.2463</v>
      </c>
      <c r="K231" s="8" t="inlineStr">
        <is>
          <t>In-store</t>
        </is>
      </c>
    </row>
    <row r="232">
      <c r="A232" s="2" t="n">
        <v>43857</v>
      </c>
      <c r="B232" s="3" t="inlineStr">
        <is>
          <t>Amazon</t>
        </is>
      </c>
      <c r="C232" s="3" t="inlineStr">
        <is>
          <t>Southwest</t>
        </is>
      </c>
      <c r="D232" s="3" t="inlineStr">
        <is>
          <t>Oklahoma</t>
        </is>
      </c>
      <c r="E232" s="3" t="inlineStr">
        <is>
          <t>Women's Apparel</t>
        </is>
      </c>
      <c r="F232" s="4" t="n">
        <v>135.21</v>
      </c>
      <c r="G232" s="5" t="n">
        <v>68</v>
      </c>
      <c r="H232" s="4" t="n">
        <v>9194.280000000001</v>
      </c>
      <c r="I232" s="4" t="n">
        <v>1879.31</v>
      </c>
      <c r="J232" s="6" t="n">
        <v>0.2044</v>
      </c>
      <c r="K232" s="3" t="inlineStr">
        <is>
          <t>Online</t>
        </is>
      </c>
    </row>
    <row r="233">
      <c r="A233" s="7" t="n">
        <v>44603</v>
      </c>
      <c r="B233" s="8" t="inlineStr">
        <is>
          <t>Kohl's</t>
        </is>
      </c>
      <c r="C233" s="8" t="inlineStr">
        <is>
          <t>Midwest</t>
        </is>
      </c>
      <c r="D233" s="8" t="inlineStr">
        <is>
          <t>Wisconsin</t>
        </is>
      </c>
      <c r="E233" s="8" t="inlineStr">
        <is>
          <t>Men's Apparel</t>
        </is>
      </c>
      <c r="F233" s="9" t="n">
        <v>89.27</v>
      </c>
      <c r="G233" s="10" t="n">
        <v>1972</v>
      </c>
      <c r="H233" s="9" t="n">
        <v>176040.44</v>
      </c>
      <c r="I233" s="9" t="n">
        <v>25877.94</v>
      </c>
      <c r="J233" s="11" t="n">
        <v>0.147</v>
      </c>
      <c r="K233" s="8" t="inlineStr">
        <is>
          <t>Outlet</t>
        </is>
      </c>
    </row>
    <row r="234">
      <c r="A234" s="2" t="n">
        <v>44782</v>
      </c>
      <c r="B234" s="3" t="inlineStr">
        <is>
          <t>Sports Direct</t>
        </is>
      </c>
      <c r="C234" s="3" t="inlineStr">
        <is>
          <t>Southeast</t>
        </is>
      </c>
      <c r="D234" s="3" t="inlineStr">
        <is>
          <t>Florida</t>
        </is>
      </c>
      <c r="E234" s="3" t="inlineStr">
        <is>
          <t>Women's Athletic Footwear</t>
        </is>
      </c>
      <c r="F234" s="4" t="n">
        <v>85.06999999999999</v>
      </c>
      <c r="G234" s="5" t="n">
        <v>576</v>
      </c>
      <c r="H234" s="4" t="n">
        <v>49000.32</v>
      </c>
      <c r="I234" s="4" t="n">
        <v>17223.61</v>
      </c>
      <c r="J234" s="6" t="n">
        <v>0.3515</v>
      </c>
      <c r="K234" s="3" t="inlineStr">
        <is>
          <t>Outlet</t>
        </is>
      </c>
    </row>
    <row r="235">
      <c r="A235" s="7" t="n">
        <v>44176</v>
      </c>
      <c r="B235" s="8" t="inlineStr">
        <is>
          <t>Kohl's</t>
        </is>
      </c>
      <c r="C235" s="8" t="inlineStr">
        <is>
          <t>Midwest</t>
        </is>
      </c>
      <c r="D235" s="8" t="inlineStr">
        <is>
          <t>Minnesota</t>
        </is>
      </c>
      <c r="E235" s="8" t="inlineStr">
        <is>
          <t>Women's Athletic Footwear</t>
        </is>
      </c>
      <c r="F235" s="9" t="n">
        <v>103.31</v>
      </c>
      <c r="G235" s="10" t="n">
        <v>1358</v>
      </c>
      <c r="H235" s="9" t="n">
        <v>140294.98</v>
      </c>
      <c r="I235" s="9" t="n">
        <v>58082.12</v>
      </c>
      <c r="J235" s="11" t="n">
        <v>0.414</v>
      </c>
      <c r="K235" s="8" t="inlineStr">
        <is>
          <t>In-store</t>
        </is>
      </c>
    </row>
    <row r="236">
      <c r="A236" s="2" t="n">
        <v>44450</v>
      </c>
      <c r="B236" s="3" t="inlineStr">
        <is>
          <t>Kohl's</t>
        </is>
      </c>
      <c r="C236" s="3" t="inlineStr">
        <is>
          <t>Northeast</t>
        </is>
      </c>
      <c r="D236" s="3" t="inlineStr">
        <is>
          <t>New Jersey</t>
        </is>
      </c>
      <c r="E236" s="3" t="inlineStr">
        <is>
          <t>Men's Street Footwear</t>
        </is>
      </c>
      <c r="F236" s="4" t="n">
        <v>147.8</v>
      </c>
      <c r="G236" s="5" t="n">
        <v>1027</v>
      </c>
      <c r="H236" s="4" t="n">
        <v>151790.6</v>
      </c>
      <c r="I236" s="4" t="n">
        <v>32376.93</v>
      </c>
      <c r="J236" s="6" t="n">
        <v>0.2133</v>
      </c>
      <c r="K236" s="3" t="inlineStr">
        <is>
          <t>In-store</t>
        </is>
      </c>
    </row>
    <row r="237">
      <c r="A237" s="7" t="n">
        <v>43839</v>
      </c>
      <c r="B237" s="8" t="inlineStr">
        <is>
          <t>Walmart</t>
        </is>
      </c>
      <c r="C237" s="8" t="inlineStr">
        <is>
          <t>Southwest</t>
        </is>
      </c>
      <c r="D237" s="8" t="inlineStr">
        <is>
          <t>Arizona</t>
        </is>
      </c>
      <c r="E237" s="8" t="inlineStr">
        <is>
          <t>Men's Athletic Footwear</t>
        </is>
      </c>
      <c r="F237" s="9" t="n">
        <v>66.23</v>
      </c>
      <c r="G237" s="10" t="n">
        <v>1530</v>
      </c>
      <c r="H237" s="9" t="n">
        <v>101331.9</v>
      </c>
      <c r="I237" s="9" t="n">
        <v>30450.24</v>
      </c>
      <c r="J237" s="11" t="n">
        <v>0.3005</v>
      </c>
      <c r="K237" s="8" t="inlineStr">
        <is>
          <t>Online</t>
        </is>
      </c>
    </row>
    <row r="238">
      <c r="A238" s="2" t="n">
        <v>44512</v>
      </c>
      <c r="B238" s="3" t="inlineStr">
        <is>
          <t>Kohl's</t>
        </is>
      </c>
      <c r="C238" s="3" t="inlineStr">
        <is>
          <t>Southeast</t>
        </is>
      </c>
      <c r="D238" s="3" t="inlineStr">
        <is>
          <t>Florida</t>
        </is>
      </c>
      <c r="E238" s="3" t="inlineStr">
        <is>
          <t>Men's Street Footwear</t>
        </is>
      </c>
      <c r="F238" s="4" t="n">
        <v>66.81999999999999</v>
      </c>
      <c r="G238" s="5" t="n">
        <v>880</v>
      </c>
      <c r="H238" s="4" t="n">
        <v>58801.6</v>
      </c>
      <c r="I238" s="4" t="n">
        <v>19998.42</v>
      </c>
      <c r="J238" s="6" t="n">
        <v>0.3401</v>
      </c>
      <c r="K238" s="3" t="inlineStr">
        <is>
          <t>Online</t>
        </is>
      </c>
    </row>
    <row r="239">
      <c r="A239" s="7" t="n">
        <v>44704</v>
      </c>
      <c r="B239" s="8" t="inlineStr">
        <is>
          <t>Sports Direct</t>
        </is>
      </c>
      <c r="C239" s="8" t="inlineStr">
        <is>
          <t>Northeast</t>
        </is>
      </c>
      <c r="D239" s="8" t="inlineStr">
        <is>
          <t>Massachusetts</t>
        </is>
      </c>
      <c r="E239" s="8" t="inlineStr">
        <is>
          <t>Men's Apparel</t>
        </is>
      </c>
      <c r="F239" s="9" t="n">
        <v>56.3</v>
      </c>
      <c r="G239" s="10" t="n">
        <v>323</v>
      </c>
      <c r="H239" s="9" t="n">
        <v>18184.9</v>
      </c>
      <c r="I239" s="9" t="n">
        <v>4862.64</v>
      </c>
      <c r="J239" s="11" t="n">
        <v>0.2674</v>
      </c>
      <c r="K239" s="8" t="inlineStr">
        <is>
          <t>In-store</t>
        </is>
      </c>
    </row>
    <row r="240">
      <c r="A240" s="2" t="n">
        <v>44550</v>
      </c>
      <c r="B240" s="3" t="inlineStr">
        <is>
          <t>Kohl's</t>
        </is>
      </c>
      <c r="C240" s="3" t="inlineStr">
        <is>
          <t>Midwest</t>
        </is>
      </c>
      <c r="D240" s="3" t="inlineStr">
        <is>
          <t>Wisconsin</t>
        </is>
      </c>
      <c r="E240" s="3" t="inlineStr">
        <is>
          <t>Men's Apparel</t>
        </is>
      </c>
      <c r="F240" s="4" t="n">
        <v>120.88</v>
      </c>
      <c r="G240" s="5" t="n">
        <v>1692</v>
      </c>
      <c r="H240" s="4" t="n">
        <v>204528.96</v>
      </c>
      <c r="I240" s="4" t="n">
        <v>67985.42999999999</v>
      </c>
      <c r="J240" s="6" t="n">
        <v>0.3324</v>
      </c>
      <c r="K240" s="3" t="inlineStr">
        <is>
          <t>Online</t>
        </is>
      </c>
    </row>
    <row r="241">
      <c r="A241" s="7" t="n">
        <v>43943</v>
      </c>
      <c r="B241" s="8" t="inlineStr">
        <is>
          <t>West Gear</t>
        </is>
      </c>
      <c r="C241" s="8" t="inlineStr">
        <is>
          <t>West</t>
        </is>
      </c>
      <c r="D241" s="8" t="inlineStr">
        <is>
          <t>California</t>
        </is>
      </c>
      <c r="E241" s="8" t="inlineStr">
        <is>
          <t>Women's Street Footwear</t>
        </is>
      </c>
      <c r="F241" s="9" t="n">
        <v>114.45</v>
      </c>
      <c r="G241" s="10" t="n">
        <v>209</v>
      </c>
      <c r="H241" s="9" t="n">
        <v>23920.05</v>
      </c>
      <c r="I241" s="9" t="n">
        <v>10070.34</v>
      </c>
      <c r="J241" s="11" t="n">
        <v>0.421</v>
      </c>
      <c r="K241" s="8" t="inlineStr">
        <is>
          <t>Outlet</t>
        </is>
      </c>
    </row>
    <row r="242">
      <c r="A242" s="2" t="n">
        <v>43857</v>
      </c>
      <c r="B242" s="3" t="inlineStr">
        <is>
          <t>Amazon</t>
        </is>
      </c>
      <c r="C242" s="3" t="inlineStr">
        <is>
          <t>West</t>
        </is>
      </c>
      <c r="D242" s="3" t="inlineStr">
        <is>
          <t>Utah</t>
        </is>
      </c>
      <c r="E242" s="3" t="inlineStr">
        <is>
          <t>Men's Apparel</t>
        </is>
      </c>
      <c r="F242" s="4" t="n">
        <v>47.98</v>
      </c>
      <c r="G242" s="5" t="n">
        <v>721</v>
      </c>
      <c r="H242" s="4" t="n">
        <v>34593.58</v>
      </c>
      <c r="I242" s="4" t="n">
        <v>13806.3</v>
      </c>
      <c r="J242" s="6" t="n">
        <v>0.3991</v>
      </c>
      <c r="K242" s="3" t="inlineStr">
        <is>
          <t>Outlet</t>
        </is>
      </c>
    </row>
    <row r="243">
      <c r="A243" s="7" t="n">
        <v>44249</v>
      </c>
      <c r="B243" s="8" t="inlineStr">
        <is>
          <t>Walmart</t>
        </is>
      </c>
      <c r="C243" s="8" t="inlineStr">
        <is>
          <t>Southeast</t>
        </is>
      </c>
      <c r="D243" s="8" t="inlineStr">
        <is>
          <t>Tennessee</t>
        </is>
      </c>
      <c r="E243" s="8" t="inlineStr">
        <is>
          <t>Men's Street Footwear</t>
        </is>
      </c>
      <c r="F243" s="9" t="n">
        <v>83.45999999999999</v>
      </c>
      <c r="G243" s="10" t="n">
        <v>163</v>
      </c>
      <c r="H243" s="9" t="n">
        <v>13603.98</v>
      </c>
      <c r="I243" s="9" t="n">
        <v>3519.35</v>
      </c>
      <c r="J243" s="11" t="n">
        <v>0.2587</v>
      </c>
      <c r="K243" s="8" t="inlineStr">
        <is>
          <t>Outlet</t>
        </is>
      </c>
    </row>
    <row r="244">
      <c r="A244" s="2" t="n">
        <v>44757</v>
      </c>
      <c r="B244" s="3" t="inlineStr">
        <is>
          <t>West Gear</t>
        </is>
      </c>
      <c r="C244" s="3" t="inlineStr">
        <is>
          <t>West</t>
        </is>
      </c>
      <c r="D244" s="3" t="inlineStr">
        <is>
          <t>California</t>
        </is>
      </c>
      <c r="E244" s="3" t="inlineStr">
        <is>
          <t>Women's Street Footwear</t>
        </is>
      </c>
      <c r="F244" s="4" t="n">
        <v>126.83</v>
      </c>
      <c r="G244" s="5" t="n">
        <v>1531</v>
      </c>
      <c r="H244" s="4" t="n">
        <v>194176.73</v>
      </c>
      <c r="I244" s="4" t="n">
        <v>20893.42</v>
      </c>
      <c r="J244" s="6" t="n">
        <v>0.1076</v>
      </c>
      <c r="K244" s="3" t="inlineStr">
        <is>
          <t>Outlet</t>
        </is>
      </c>
    </row>
    <row r="245">
      <c r="A245" s="7" t="n">
        <v>44220</v>
      </c>
      <c r="B245" s="8" t="inlineStr">
        <is>
          <t>Foot Locker</t>
        </is>
      </c>
      <c r="C245" s="8" t="inlineStr">
        <is>
          <t>Southeast</t>
        </is>
      </c>
      <c r="D245" s="8" t="inlineStr">
        <is>
          <t>Tennessee</t>
        </is>
      </c>
      <c r="E245" s="8" t="inlineStr">
        <is>
          <t>Men's Street Footwear</t>
        </is>
      </c>
      <c r="F245" s="9" t="n">
        <v>71.34</v>
      </c>
      <c r="G245" s="10" t="n">
        <v>180</v>
      </c>
      <c r="H245" s="9" t="n">
        <v>12841.2</v>
      </c>
      <c r="I245" s="9" t="n">
        <v>3716.24</v>
      </c>
      <c r="J245" s="11" t="n">
        <v>0.2894</v>
      </c>
      <c r="K245" s="8" t="inlineStr">
        <is>
          <t>Online</t>
        </is>
      </c>
    </row>
    <row r="246">
      <c r="A246" s="2" t="n">
        <v>43877</v>
      </c>
      <c r="B246" s="3" t="inlineStr">
        <is>
          <t>Walmart</t>
        </is>
      </c>
      <c r="C246" s="3" t="inlineStr">
        <is>
          <t>Northeast</t>
        </is>
      </c>
      <c r="D246" s="3" t="inlineStr">
        <is>
          <t>Massachusetts</t>
        </is>
      </c>
      <c r="E246" s="3" t="inlineStr">
        <is>
          <t>Women's Athletic Footwear</t>
        </is>
      </c>
      <c r="F246" s="4" t="n">
        <v>121.9</v>
      </c>
      <c r="G246" s="5" t="n">
        <v>1543</v>
      </c>
      <c r="H246" s="4" t="n">
        <v>188091.7</v>
      </c>
      <c r="I246" s="4" t="n">
        <v>61336.7</v>
      </c>
      <c r="J246" s="6" t="n">
        <v>0.3261</v>
      </c>
      <c r="K246" s="3" t="inlineStr">
        <is>
          <t>In-store</t>
        </is>
      </c>
    </row>
    <row r="247">
      <c r="A247" s="7" t="n">
        <v>44360</v>
      </c>
      <c r="B247" s="8" t="inlineStr">
        <is>
          <t>Walmart</t>
        </is>
      </c>
      <c r="C247" s="8" t="inlineStr">
        <is>
          <t>Southwest</t>
        </is>
      </c>
      <c r="D247" s="8" t="inlineStr">
        <is>
          <t>Oklahoma</t>
        </is>
      </c>
      <c r="E247" s="8" t="inlineStr">
        <is>
          <t>Men's Street Footwear</t>
        </is>
      </c>
      <c r="F247" s="9" t="n">
        <v>145.7</v>
      </c>
      <c r="G247" s="10" t="n">
        <v>1841</v>
      </c>
      <c r="H247" s="9" t="n">
        <v>268233.7</v>
      </c>
      <c r="I247" s="9" t="n">
        <v>77465.89</v>
      </c>
      <c r="J247" s="11" t="n">
        <v>0.2888</v>
      </c>
      <c r="K247" s="8" t="inlineStr">
        <is>
          <t>Outlet</t>
        </is>
      </c>
    </row>
    <row r="248">
      <c r="A248" s="2" t="n">
        <v>44716</v>
      </c>
      <c r="B248" s="3" t="inlineStr">
        <is>
          <t>Walmart</t>
        </is>
      </c>
      <c r="C248" s="3" t="inlineStr">
        <is>
          <t>Southeast</t>
        </is>
      </c>
      <c r="D248" s="3" t="inlineStr">
        <is>
          <t>Tennessee</t>
        </is>
      </c>
      <c r="E248" s="3" t="inlineStr">
        <is>
          <t>Men's Apparel</t>
        </is>
      </c>
      <c r="F248" s="4" t="n">
        <v>117.34</v>
      </c>
      <c r="G248" s="5" t="n">
        <v>506</v>
      </c>
      <c r="H248" s="4" t="n">
        <v>59374.04</v>
      </c>
      <c r="I248" s="4" t="n">
        <v>23286.5</v>
      </c>
      <c r="J248" s="6" t="n">
        <v>0.3922</v>
      </c>
      <c r="K248" s="3" t="inlineStr">
        <is>
          <t>In-store</t>
        </is>
      </c>
    </row>
    <row r="249">
      <c r="A249" s="7" t="n">
        <v>43966</v>
      </c>
      <c r="B249" s="8" t="inlineStr">
        <is>
          <t>West Gear</t>
        </is>
      </c>
      <c r="C249" s="8" t="inlineStr">
        <is>
          <t>West</t>
        </is>
      </c>
      <c r="D249" s="8" t="inlineStr">
        <is>
          <t>Colorado</t>
        </is>
      </c>
      <c r="E249" s="8" t="inlineStr">
        <is>
          <t>Women's Street Footwear</t>
        </is>
      </c>
      <c r="F249" s="9" t="n">
        <v>59.7</v>
      </c>
      <c r="G249" s="10" t="n">
        <v>758</v>
      </c>
      <c r="H249" s="9" t="n">
        <v>45252.6</v>
      </c>
      <c r="I249" s="9" t="n">
        <v>6982.48</v>
      </c>
      <c r="J249" s="11" t="n">
        <v>0.1543</v>
      </c>
      <c r="K249" s="8" t="inlineStr">
        <is>
          <t>In-store</t>
        </is>
      </c>
    </row>
    <row r="250">
      <c r="A250" s="2" t="n">
        <v>44190</v>
      </c>
      <c r="B250" s="3" t="inlineStr">
        <is>
          <t>Target</t>
        </is>
      </c>
      <c r="C250" s="3" t="inlineStr">
        <is>
          <t>Northeast</t>
        </is>
      </c>
      <c r="D250" s="3" t="inlineStr">
        <is>
          <t>New York</t>
        </is>
      </c>
      <c r="E250" s="3" t="inlineStr">
        <is>
          <t>Women's Apparel</t>
        </is>
      </c>
      <c r="F250" s="4" t="n">
        <v>103.79</v>
      </c>
      <c r="G250" s="5" t="n">
        <v>1967</v>
      </c>
      <c r="H250" s="4" t="n">
        <v>204154.93</v>
      </c>
      <c r="I250" s="4" t="n">
        <v>83560.61</v>
      </c>
      <c r="J250" s="6" t="n">
        <v>0.4093</v>
      </c>
      <c r="K250" s="3" t="inlineStr">
        <is>
          <t>Online</t>
        </is>
      </c>
    </row>
    <row r="251">
      <c r="A251" s="7" t="n">
        <v>43928</v>
      </c>
      <c r="B251" s="8" t="inlineStr">
        <is>
          <t>West Gear</t>
        </is>
      </c>
      <c r="C251" s="8" t="inlineStr">
        <is>
          <t>Northeast</t>
        </is>
      </c>
      <c r="D251" s="8" t="inlineStr">
        <is>
          <t>New York</t>
        </is>
      </c>
      <c r="E251" s="8" t="inlineStr">
        <is>
          <t>Men's Street Footwear</t>
        </is>
      </c>
      <c r="F251" s="9" t="n">
        <v>101.73</v>
      </c>
      <c r="G251" s="10" t="n">
        <v>1490</v>
      </c>
      <c r="H251" s="9" t="n">
        <v>151577.7</v>
      </c>
      <c r="I251" s="9" t="n">
        <v>61434.44</v>
      </c>
      <c r="J251" s="11" t="n">
        <v>0.4053</v>
      </c>
      <c r="K251" s="8" t="inlineStr">
        <is>
          <t>Online</t>
        </is>
      </c>
    </row>
    <row r="252">
      <c r="A252" s="2" t="n">
        <v>44167</v>
      </c>
      <c r="B252" s="3" t="inlineStr">
        <is>
          <t>Amazon</t>
        </is>
      </c>
      <c r="C252" s="3" t="inlineStr">
        <is>
          <t>Southwest</t>
        </is>
      </c>
      <c r="D252" s="3" t="inlineStr">
        <is>
          <t>Oklahoma</t>
        </is>
      </c>
      <c r="E252" s="3" t="inlineStr">
        <is>
          <t>Men's Apparel</t>
        </is>
      </c>
      <c r="F252" s="4" t="n">
        <v>120.53</v>
      </c>
      <c r="G252" s="5" t="n">
        <v>1639</v>
      </c>
      <c r="H252" s="4" t="n">
        <v>197548.67</v>
      </c>
      <c r="I252" s="4" t="n">
        <v>23666.33</v>
      </c>
      <c r="J252" s="6" t="n">
        <v>0.1198</v>
      </c>
      <c r="K252" s="3" t="inlineStr">
        <is>
          <t>In-store</t>
        </is>
      </c>
    </row>
    <row r="253">
      <c r="A253" s="7" t="n">
        <v>44689</v>
      </c>
      <c r="B253" s="8" t="inlineStr">
        <is>
          <t>West Gear</t>
        </is>
      </c>
      <c r="C253" s="8" t="inlineStr">
        <is>
          <t>West</t>
        </is>
      </c>
      <c r="D253" s="8" t="inlineStr">
        <is>
          <t>Oregon</t>
        </is>
      </c>
      <c r="E253" s="8" t="inlineStr">
        <is>
          <t>Men's Apparel</t>
        </is>
      </c>
      <c r="F253" s="9" t="n">
        <v>128.21</v>
      </c>
      <c r="G253" s="10" t="n">
        <v>535</v>
      </c>
      <c r="H253" s="9" t="n">
        <v>68592.35000000001</v>
      </c>
      <c r="I253" s="9" t="n">
        <v>14102.59</v>
      </c>
      <c r="J253" s="11" t="n">
        <v>0.2056</v>
      </c>
      <c r="K253" s="8" t="inlineStr">
        <is>
          <t>Outlet</t>
        </is>
      </c>
    </row>
    <row r="254">
      <c r="A254" s="2" t="n">
        <v>44152</v>
      </c>
      <c r="B254" s="3" t="inlineStr">
        <is>
          <t>Sports Direct</t>
        </is>
      </c>
      <c r="C254" s="3" t="inlineStr">
        <is>
          <t>Southeast</t>
        </is>
      </c>
      <c r="D254" s="3" t="inlineStr">
        <is>
          <t>Virginia</t>
        </is>
      </c>
      <c r="E254" s="3" t="inlineStr">
        <is>
          <t>Men's Athletic Footwear</t>
        </is>
      </c>
      <c r="F254" s="4" t="n">
        <v>96.81</v>
      </c>
      <c r="G254" s="5" t="n">
        <v>1261</v>
      </c>
      <c r="H254" s="4" t="n">
        <v>122077.41</v>
      </c>
      <c r="I254" s="4" t="n">
        <v>49795.38</v>
      </c>
      <c r="J254" s="6" t="n">
        <v>0.4079</v>
      </c>
      <c r="K254" s="3" t="inlineStr">
        <is>
          <t>In-store</t>
        </is>
      </c>
    </row>
    <row r="255">
      <c r="A255" s="7" t="n">
        <v>44157</v>
      </c>
      <c r="B255" s="8" t="inlineStr">
        <is>
          <t>Walmart</t>
        </is>
      </c>
      <c r="C255" s="8" t="inlineStr">
        <is>
          <t>Southwest</t>
        </is>
      </c>
      <c r="D255" s="8" t="inlineStr">
        <is>
          <t>New Mexico</t>
        </is>
      </c>
      <c r="E255" s="8" t="inlineStr">
        <is>
          <t>Men's Street Footwear</t>
        </is>
      </c>
      <c r="F255" s="9" t="n">
        <v>142.99</v>
      </c>
      <c r="G255" s="10" t="n">
        <v>1424</v>
      </c>
      <c r="H255" s="9" t="n">
        <v>203617.76</v>
      </c>
      <c r="I255" s="9" t="n">
        <v>47524.39</v>
      </c>
      <c r="J255" s="11" t="n">
        <v>0.2334</v>
      </c>
      <c r="K255" s="8" t="inlineStr">
        <is>
          <t>Online</t>
        </is>
      </c>
    </row>
    <row r="256">
      <c r="A256" s="2" t="n">
        <v>44735</v>
      </c>
      <c r="B256" s="3" t="inlineStr">
        <is>
          <t>Amazon</t>
        </is>
      </c>
      <c r="C256" s="3" t="inlineStr">
        <is>
          <t>Southwest</t>
        </is>
      </c>
      <c r="D256" s="3" t="inlineStr">
        <is>
          <t>Oklahoma</t>
        </is>
      </c>
      <c r="E256" s="3" t="inlineStr">
        <is>
          <t>Men's Athletic Footwear</t>
        </is>
      </c>
      <c r="F256" s="4" t="n">
        <v>52.07</v>
      </c>
      <c r="G256" s="5" t="n">
        <v>1151</v>
      </c>
      <c r="H256" s="4" t="n">
        <v>59932.57</v>
      </c>
      <c r="I256" s="4" t="n">
        <v>15924.08</v>
      </c>
      <c r="J256" s="6" t="n">
        <v>0.2657</v>
      </c>
      <c r="K256" s="3" t="inlineStr">
        <is>
          <t>Online</t>
        </is>
      </c>
    </row>
    <row r="257">
      <c r="A257" s="7" t="n">
        <v>43979</v>
      </c>
      <c r="B257" s="8" t="inlineStr">
        <is>
          <t>Foot Locker</t>
        </is>
      </c>
      <c r="C257" s="8" t="inlineStr">
        <is>
          <t>Southeast</t>
        </is>
      </c>
      <c r="D257" s="8" t="inlineStr">
        <is>
          <t>Virginia</t>
        </is>
      </c>
      <c r="E257" s="8" t="inlineStr">
        <is>
          <t>Men's Apparel</t>
        </is>
      </c>
      <c r="F257" s="9" t="n">
        <v>146.13</v>
      </c>
      <c r="G257" s="10" t="n">
        <v>1191</v>
      </c>
      <c r="H257" s="9" t="n">
        <v>174040.83</v>
      </c>
      <c r="I257" s="9" t="n">
        <v>49688.66</v>
      </c>
      <c r="J257" s="11" t="n">
        <v>0.2855</v>
      </c>
      <c r="K257" s="8" t="inlineStr">
        <is>
          <t>Online</t>
        </is>
      </c>
    </row>
    <row r="258">
      <c r="A258" s="2" t="n">
        <v>44295</v>
      </c>
      <c r="B258" s="3" t="inlineStr">
        <is>
          <t>Kohl's</t>
        </is>
      </c>
      <c r="C258" s="3" t="inlineStr">
        <is>
          <t>Southeast</t>
        </is>
      </c>
      <c r="D258" s="3" t="inlineStr">
        <is>
          <t>North Carolina</t>
        </is>
      </c>
      <c r="E258" s="3" t="inlineStr">
        <is>
          <t>Men's Street Footwear</t>
        </is>
      </c>
      <c r="F258" s="4" t="n">
        <v>131.66</v>
      </c>
      <c r="G258" s="5" t="n">
        <v>239</v>
      </c>
      <c r="H258" s="4" t="n">
        <v>31466.74</v>
      </c>
      <c r="I258" s="4" t="n">
        <v>9046.690000000001</v>
      </c>
      <c r="J258" s="6" t="n">
        <v>0.2875</v>
      </c>
      <c r="K258" s="3" t="inlineStr">
        <is>
          <t>Online</t>
        </is>
      </c>
    </row>
    <row r="259">
      <c r="A259" s="7" t="n">
        <v>43839</v>
      </c>
      <c r="B259" s="8" t="inlineStr">
        <is>
          <t>West Gear</t>
        </is>
      </c>
      <c r="C259" s="8" t="inlineStr">
        <is>
          <t>Southwest</t>
        </is>
      </c>
      <c r="D259" s="8" t="inlineStr">
        <is>
          <t>New Mexico</t>
        </is>
      </c>
      <c r="E259" s="8" t="inlineStr">
        <is>
          <t>Men's Street Footwear</t>
        </is>
      </c>
      <c r="F259" s="9" t="n">
        <v>52.58</v>
      </c>
      <c r="G259" s="10" t="n">
        <v>1609</v>
      </c>
      <c r="H259" s="9" t="n">
        <v>84601.22</v>
      </c>
      <c r="I259" s="9" t="n">
        <v>25862.59</v>
      </c>
      <c r="J259" s="11" t="n">
        <v>0.3057</v>
      </c>
      <c r="K259" s="8" t="inlineStr">
        <is>
          <t>In-store</t>
        </is>
      </c>
    </row>
    <row r="260">
      <c r="A260" s="2" t="n">
        <v>44811</v>
      </c>
      <c r="B260" s="3" t="inlineStr">
        <is>
          <t>Target</t>
        </is>
      </c>
      <c r="C260" s="3" t="inlineStr">
        <is>
          <t>Southwest</t>
        </is>
      </c>
      <c r="D260" s="3" t="inlineStr">
        <is>
          <t>Arizona</t>
        </is>
      </c>
      <c r="E260" s="3" t="inlineStr">
        <is>
          <t>Men's Athletic Footwear</t>
        </is>
      </c>
      <c r="F260" s="4" t="n">
        <v>144.84</v>
      </c>
      <c r="G260" s="5" t="n">
        <v>81</v>
      </c>
      <c r="H260" s="4" t="n">
        <v>11732.04</v>
      </c>
      <c r="I260" s="4" t="n">
        <v>2042.55</v>
      </c>
      <c r="J260" s="6" t="n">
        <v>0.1741</v>
      </c>
      <c r="K260" s="3" t="inlineStr">
        <is>
          <t>Online</t>
        </is>
      </c>
    </row>
    <row r="261">
      <c r="A261" s="7" t="n">
        <v>44169</v>
      </c>
      <c r="B261" s="8" t="inlineStr">
        <is>
          <t>Kohl's</t>
        </is>
      </c>
      <c r="C261" s="8" t="inlineStr">
        <is>
          <t>Southwest</t>
        </is>
      </c>
      <c r="D261" s="8" t="inlineStr">
        <is>
          <t>Arizona</t>
        </is>
      </c>
      <c r="E261" s="8" t="inlineStr">
        <is>
          <t>Men's Apparel</t>
        </is>
      </c>
      <c r="F261" s="9" t="n">
        <v>54.54</v>
      </c>
      <c r="G261" s="10" t="n">
        <v>1924</v>
      </c>
      <c r="H261" s="9" t="n">
        <v>104934.96</v>
      </c>
      <c r="I261" s="9" t="n">
        <v>19287.05</v>
      </c>
      <c r="J261" s="11" t="n">
        <v>0.1838</v>
      </c>
      <c r="K261" s="8" t="inlineStr">
        <is>
          <t>Outlet</t>
        </is>
      </c>
    </row>
    <row r="262">
      <c r="A262" s="2" t="n">
        <v>44329</v>
      </c>
      <c r="B262" s="3" t="inlineStr">
        <is>
          <t>Kohl's</t>
        </is>
      </c>
      <c r="C262" s="3" t="inlineStr">
        <is>
          <t>Southwest</t>
        </is>
      </c>
      <c r="D262" s="3" t="inlineStr">
        <is>
          <t>New Mexico</t>
        </is>
      </c>
      <c r="E262" s="3" t="inlineStr">
        <is>
          <t>Men's Athletic Footwear</t>
        </is>
      </c>
      <c r="F262" s="4" t="n">
        <v>61.39</v>
      </c>
      <c r="G262" s="5" t="n">
        <v>1100</v>
      </c>
      <c r="H262" s="4" t="n">
        <v>67529</v>
      </c>
      <c r="I262" s="4" t="n">
        <v>27619.36</v>
      </c>
      <c r="J262" s="6" t="n">
        <v>0.409</v>
      </c>
      <c r="K262" s="3" t="inlineStr">
        <is>
          <t>Online</t>
        </is>
      </c>
    </row>
    <row r="263">
      <c r="A263" s="7" t="n">
        <v>44253</v>
      </c>
      <c r="B263" s="8" t="inlineStr">
        <is>
          <t>Amazon</t>
        </is>
      </c>
      <c r="C263" s="8" t="inlineStr">
        <is>
          <t>Southwest</t>
        </is>
      </c>
      <c r="D263" s="8" t="inlineStr">
        <is>
          <t>Nevada</t>
        </is>
      </c>
      <c r="E263" s="8" t="inlineStr">
        <is>
          <t>Men's Athletic Footwear</t>
        </is>
      </c>
      <c r="F263" s="9" t="n">
        <v>79.67</v>
      </c>
      <c r="G263" s="10" t="n">
        <v>1202</v>
      </c>
      <c r="H263" s="9" t="n">
        <v>95763.34</v>
      </c>
      <c r="I263" s="9" t="n">
        <v>38535.17</v>
      </c>
      <c r="J263" s="11" t="n">
        <v>0.4024</v>
      </c>
      <c r="K263" s="8" t="inlineStr">
        <is>
          <t>Online</t>
        </is>
      </c>
    </row>
    <row r="264">
      <c r="A264" s="2" t="n">
        <v>44621</v>
      </c>
      <c r="B264" s="3" t="inlineStr">
        <is>
          <t>West Gear</t>
        </is>
      </c>
      <c r="C264" s="3" t="inlineStr">
        <is>
          <t>Midwest</t>
        </is>
      </c>
      <c r="D264" s="3" t="inlineStr">
        <is>
          <t>Minnesota</t>
        </is>
      </c>
      <c r="E264" s="3" t="inlineStr">
        <is>
          <t>Men's Apparel</t>
        </is>
      </c>
      <c r="F264" s="4" t="n">
        <v>80.11</v>
      </c>
      <c r="G264" s="5" t="n">
        <v>362</v>
      </c>
      <c r="H264" s="4" t="n">
        <v>28999.82</v>
      </c>
      <c r="I264" s="4" t="n">
        <v>4892.27</v>
      </c>
      <c r="J264" s="6" t="n">
        <v>0.1687</v>
      </c>
      <c r="K264" s="3" t="inlineStr">
        <is>
          <t>Outlet</t>
        </is>
      </c>
    </row>
    <row r="265">
      <c r="A265" s="7" t="n">
        <v>44031</v>
      </c>
      <c r="B265" s="8" t="inlineStr">
        <is>
          <t>West Gear</t>
        </is>
      </c>
      <c r="C265" s="8" t="inlineStr">
        <is>
          <t>Southeast</t>
        </is>
      </c>
      <c r="D265" s="8" t="inlineStr">
        <is>
          <t>Virginia</t>
        </is>
      </c>
      <c r="E265" s="8" t="inlineStr">
        <is>
          <t>Women's Apparel</t>
        </is>
      </c>
      <c r="F265" s="9" t="n">
        <v>70.51000000000001</v>
      </c>
      <c r="G265" s="10" t="n">
        <v>1613</v>
      </c>
      <c r="H265" s="9" t="n">
        <v>113732.63</v>
      </c>
      <c r="I265" s="9" t="n">
        <v>44082.77</v>
      </c>
      <c r="J265" s="11" t="n">
        <v>0.3876</v>
      </c>
      <c r="K265" s="8" t="inlineStr">
        <is>
          <t>Outlet</t>
        </is>
      </c>
    </row>
    <row r="266">
      <c r="A266" s="2" t="n">
        <v>44889</v>
      </c>
      <c r="B266" s="3" t="inlineStr">
        <is>
          <t>Amazon</t>
        </is>
      </c>
      <c r="C266" s="3" t="inlineStr">
        <is>
          <t>Southwest</t>
        </is>
      </c>
      <c r="D266" s="3" t="inlineStr">
        <is>
          <t>Oklahoma</t>
        </is>
      </c>
      <c r="E266" s="3" t="inlineStr">
        <is>
          <t>Women's Apparel</t>
        </is>
      </c>
      <c r="F266" s="4" t="n">
        <v>50.31</v>
      </c>
      <c r="G266" s="5" t="n">
        <v>1525</v>
      </c>
      <c r="H266" s="4" t="n">
        <v>76722.75</v>
      </c>
      <c r="I266" s="4" t="n">
        <v>22349.34</v>
      </c>
      <c r="J266" s="6" t="n">
        <v>0.2913</v>
      </c>
      <c r="K266" s="3" t="inlineStr">
        <is>
          <t>Online</t>
        </is>
      </c>
    </row>
    <row r="267">
      <c r="A267" s="7" t="n">
        <v>44095</v>
      </c>
      <c r="B267" s="8" t="inlineStr">
        <is>
          <t>Foot Locker</t>
        </is>
      </c>
      <c r="C267" s="8" t="inlineStr">
        <is>
          <t>Northeast</t>
        </is>
      </c>
      <c r="D267" s="8" t="inlineStr">
        <is>
          <t>Connecticut</t>
        </is>
      </c>
      <c r="E267" s="8" t="inlineStr">
        <is>
          <t>Men's Street Footwear</t>
        </is>
      </c>
      <c r="F267" s="9" t="n">
        <v>35.82</v>
      </c>
      <c r="G267" s="10" t="n">
        <v>63</v>
      </c>
      <c r="H267" s="9" t="n">
        <v>2256.66</v>
      </c>
      <c r="I267" s="9" t="n">
        <v>551.3</v>
      </c>
      <c r="J267" s="11" t="n">
        <v>0.2443</v>
      </c>
      <c r="K267" s="8" t="inlineStr">
        <is>
          <t>Outlet</t>
        </is>
      </c>
    </row>
    <row r="268">
      <c r="A268" s="2" t="n">
        <v>44654</v>
      </c>
      <c r="B268" s="3" t="inlineStr">
        <is>
          <t>Amazon</t>
        </is>
      </c>
      <c r="C268" s="3" t="inlineStr">
        <is>
          <t>Southeast</t>
        </is>
      </c>
      <c r="D268" s="3" t="inlineStr">
        <is>
          <t>Florida</t>
        </is>
      </c>
      <c r="E268" s="3" t="inlineStr">
        <is>
          <t>Men's Apparel</t>
        </is>
      </c>
      <c r="F268" s="4" t="n">
        <v>74.78</v>
      </c>
      <c r="G268" s="5" t="n">
        <v>1315</v>
      </c>
      <c r="H268" s="4" t="n">
        <v>98335.7</v>
      </c>
      <c r="I268" s="4" t="n">
        <v>31782.1</v>
      </c>
      <c r="J268" s="6" t="n">
        <v>0.3232</v>
      </c>
      <c r="K268" s="3" t="inlineStr">
        <is>
          <t>Online</t>
        </is>
      </c>
    </row>
    <row r="269">
      <c r="A269" s="7" t="n">
        <v>44795</v>
      </c>
      <c r="B269" s="8" t="inlineStr">
        <is>
          <t>Foot Locker</t>
        </is>
      </c>
      <c r="C269" s="8" t="inlineStr">
        <is>
          <t>Southwest</t>
        </is>
      </c>
      <c r="D269" s="8" t="inlineStr">
        <is>
          <t>Texas</t>
        </is>
      </c>
      <c r="E269" s="8" t="inlineStr">
        <is>
          <t>Men's Apparel</t>
        </is>
      </c>
      <c r="F269" s="9" t="n">
        <v>79.36</v>
      </c>
      <c r="G269" s="10" t="n">
        <v>84</v>
      </c>
      <c r="H269" s="9" t="n">
        <v>6666.24</v>
      </c>
      <c r="I269" s="9" t="n">
        <v>1901.88</v>
      </c>
      <c r="J269" s="11" t="n">
        <v>0.2853</v>
      </c>
      <c r="K269" s="8" t="inlineStr">
        <is>
          <t>Outlet</t>
        </is>
      </c>
    </row>
    <row r="270">
      <c r="A270" s="2" t="n">
        <v>44449</v>
      </c>
      <c r="B270" s="3" t="inlineStr">
        <is>
          <t>Target</t>
        </is>
      </c>
      <c r="C270" s="3" t="inlineStr">
        <is>
          <t>Northeast</t>
        </is>
      </c>
      <c r="D270" s="3" t="inlineStr">
        <is>
          <t>Connecticut</t>
        </is>
      </c>
      <c r="E270" s="3" t="inlineStr">
        <is>
          <t>Women's Apparel</t>
        </is>
      </c>
      <c r="F270" s="4" t="n">
        <v>81.67</v>
      </c>
      <c r="G270" s="5" t="n">
        <v>1974</v>
      </c>
      <c r="H270" s="4" t="n">
        <v>161216.58</v>
      </c>
      <c r="I270" s="4" t="n">
        <v>67453.02</v>
      </c>
      <c r="J270" s="6" t="n">
        <v>0.4184</v>
      </c>
      <c r="K270" s="3" t="inlineStr">
        <is>
          <t>Outlet</t>
        </is>
      </c>
    </row>
    <row r="271">
      <c r="A271" s="7" t="n">
        <v>43878</v>
      </c>
      <c r="B271" s="8" t="inlineStr">
        <is>
          <t>Amazon</t>
        </is>
      </c>
      <c r="C271" s="8" t="inlineStr">
        <is>
          <t>Southeast</t>
        </is>
      </c>
      <c r="D271" s="8" t="inlineStr">
        <is>
          <t>Georgia</t>
        </is>
      </c>
      <c r="E271" s="8" t="inlineStr">
        <is>
          <t>Men's Apparel</t>
        </is>
      </c>
      <c r="F271" s="9" t="n">
        <v>60.29</v>
      </c>
      <c r="G271" s="10" t="n">
        <v>775</v>
      </c>
      <c r="H271" s="9" t="n">
        <v>46724.75</v>
      </c>
      <c r="I271" s="9" t="n">
        <v>9045.91</v>
      </c>
      <c r="J271" s="11" t="n">
        <v>0.1936</v>
      </c>
      <c r="K271" s="8" t="inlineStr">
        <is>
          <t>Outlet</t>
        </is>
      </c>
    </row>
    <row r="272">
      <c r="A272" s="2" t="n">
        <v>44239</v>
      </c>
      <c r="B272" s="3" t="inlineStr">
        <is>
          <t>West Gear</t>
        </is>
      </c>
      <c r="C272" s="3" t="inlineStr">
        <is>
          <t>Southwest</t>
        </is>
      </c>
      <c r="D272" s="3" t="inlineStr">
        <is>
          <t>Oklahoma</t>
        </is>
      </c>
      <c r="E272" s="3" t="inlineStr">
        <is>
          <t>Women's Athletic Footwear</t>
        </is>
      </c>
      <c r="F272" s="4" t="n">
        <v>57.1</v>
      </c>
      <c r="G272" s="5" t="n">
        <v>1450</v>
      </c>
      <c r="H272" s="4" t="n">
        <v>82795</v>
      </c>
      <c r="I272" s="4" t="n">
        <v>32273.49</v>
      </c>
      <c r="J272" s="6" t="n">
        <v>0.3898</v>
      </c>
      <c r="K272" s="3" t="inlineStr">
        <is>
          <t>Outlet</t>
        </is>
      </c>
    </row>
    <row r="273">
      <c r="A273" s="7" t="n">
        <v>44163</v>
      </c>
      <c r="B273" s="8" t="inlineStr">
        <is>
          <t>Walmart</t>
        </is>
      </c>
      <c r="C273" s="8" t="inlineStr">
        <is>
          <t>Northeast</t>
        </is>
      </c>
      <c r="D273" s="8" t="inlineStr">
        <is>
          <t>New York</t>
        </is>
      </c>
      <c r="E273" s="8" t="inlineStr">
        <is>
          <t>Women's Street Footwear</t>
        </is>
      </c>
      <c r="F273" s="9" t="n">
        <v>96.31999999999999</v>
      </c>
      <c r="G273" s="10" t="n">
        <v>164</v>
      </c>
      <c r="H273" s="9" t="n">
        <v>15796.48</v>
      </c>
      <c r="I273" s="9" t="n">
        <v>5100.68</v>
      </c>
      <c r="J273" s="11" t="n">
        <v>0.3229</v>
      </c>
      <c r="K273" s="8" t="inlineStr">
        <is>
          <t>Online</t>
        </is>
      </c>
    </row>
    <row r="274">
      <c r="A274" s="2" t="n">
        <v>44623</v>
      </c>
      <c r="B274" s="3" t="inlineStr">
        <is>
          <t>Kohl's</t>
        </is>
      </c>
      <c r="C274" s="3" t="inlineStr">
        <is>
          <t>Southwest</t>
        </is>
      </c>
      <c r="D274" s="3" t="inlineStr">
        <is>
          <t>Oklahoma</t>
        </is>
      </c>
      <c r="E274" s="3" t="inlineStr">
        <is>
          <t>Men's Athletic Footwear</t>
        </is>
      </c>
      <c r="F274" s="4" t="n">
        <v>147.28</v>
      </c>
      <c r="G274" s="5" t="n">
        <v>245</v>
      </c>
      <c r="H274" s="4" t="n">
        <v>36083.6</v>
      </c>
      <c r="I274" s="4" t="n">
        <v>14909.74</v>
      </c>
      <c r="J274" s="6" t="n">
        <v>0.4132</v>
      </c>
      <c r="K274" s="3" t="inlineStr">
        <is>
          <t>Outlet</t>
        </is>
      </c>
    </row>
    <row r="275">
      <c r="A275" s="7" t="n">
        <v>43928</v>
      </c>
      <c r="B275" s="8" t="inlineStr">
        <is>
          <t>Sports Direct</t>
        </is>
      </c>
      <c r="C275" s="8" t="inlineStr">
        <is>
          <t>West</t>
        </is>
      </c>
      <c r="D275" s="8" t="inlineStr">
        <is>
          <t>Colorado</t>
        </is>
      </c>
      <c r="E275" s="8" t="inlineStr">
        <is>
          <t>Men's Street Footwear</t>
        </is>
      </c>
      <c r="F275" s="9" t="n">
        <v>112.13</v>
      </c>
      <c r="G275" s="10" t="n">
        <v>624</v>
      </c>
      <c r="H275" s="9" t="n">
        <v>69969.12</v>
      </c>
      <c r="I275" s="9" t="n">
        <v>29023.19</v>
      </c>
      <c r="J275" s="11" t="n">
        <v>0.4148</v>
      </c>
      <c r="K275" s="8" t="inlineStr">
        <is>
          <t>In-store</t>
        </is>
      </c>
    </row>
    <row r="276">
      <c r="A276" s="2" t="n">
        <v>44867</v>
      </c>
      <c r="B276" s="3" t="inlineStr">
        <is>
          <t>Foot Locker</t>
        </is>
      </c>
      <c r="C276" s="3" t="inlineStr">
        <is>
          <t>Southeast</t>
        </is>
      </c>
      <c r="D276" s="3" t="inlineStr">
        <is>
          <t>North Carolina</t>
        </is>
      </c>
      <c r="E276" s="3" t="inlineStr">
        <is>
          <t>Women's Athletic Footwear</t>
        </is>
      </c>
      <c r="F276" s="4" t="n">
        <v>47.3</v>
      </c>
      <c r="G276" s="5" t="n">
        <v>1730</v>
      </c>
      <c r="H276" s="4" t="n">
        <v>81829</v>
      </c>
      <c r="I276" s="4" t="n">
        <v>28591.05</v>
      </c>
      <c r="J276" s="6" t="n">
        <v>0.3494</v>
      </c>
      <c r="K276" s="3" t="inlineStr">
        <is>
          <t>Outlet</t>
        </is>
      </c>
    </row>
    <row r="277">
      <c r="A277" s="7" t="n">
        <v>44237</v>
      </c>
      <c r="B277" s="8" t="inlineStr">
        <is>
          <t>Amazon</t>
        </is>
      </c>
      <c r="C277" s="8" t="inlineStr">
        <is>
          <t>Southeast</t>
        </is>
      </c>
      <c r="D277" s="8" t="inlineStr">
        <is>
          <t>Tennessee</t>
        </is>
      </c>
      <c r="E277" s="8" t="inlineStr">
        <is>
          <t>Men's Apparel</t>
        </is>
      </c>
      <c r="F277" s="9" t="n">
        <v>111.24</v>
      </c>
      <c r="G277" s="10" t="n">
        <v>1157</v>
      </c>
      <c r="H277" s="9" t="n">
        <v>128704.68</v>
      </c>
      <c r="I277" s="9" t="n">
        <v>27813.08</v>
      </c>
      <c r="J277" s="11" t="n">
        <v>0.2161</v>
      </c>
      <c r="K277" s="8" t="inlineStr">
        <is>
          <t>Online</t>
        </is>
      </c>
    </row>
    <row r="278">
      <c r="A278" s="2" t="n">
        <v>44646</v>
      </c>
      <c r="B278" s="3" t="inlineStr">
        <is>
          <t>Kohl's</t>
        </is>
      </c>
      <c r="C278" s="3" t="inlineStr">
        <is>
          <t>Northeast</t>
        </is>
      </c>
      <c r="D278" s="3" t="inlineStr">
        <is>
          <t>Connecticut</t>
        </is>
      </c>
      <c r="E278" s="3" t="inlineStr">
        <is>
          <t>Men's Athletic Footwear</t>
        </is>
      </c>
      <c r="F278" s="4" t="n">
        <v>41.72</v>
      </c>
      <c r="G278" s="5" t="n">
        <v>525</v>
      </c>
      <c r="H278" s="4" t="n">
        <v>21903</v>
      </c>
      <c r="I278" s="4" t="n">
        <v>8618.83</v>
      </c>
      <c r="J278" s="6" t="n">
        <v>0.3935</v>
      </c>
      <c r="K278" s="3" t="inlineStr">
        <is>
          <t>In-store</t>
        </is>
      </c>
    </row>
    <row r="279">
      <c r="A279" s="7" t="n">
        <v>44494</v>
      </c>
      <c r="B279" s="8" t="inlineStr">
        <is>
          <t>Walmart</t>
        </is>
      </c>
      <c r="C279" s="8" t="inlineStr">
        <is>
          <t>West</t>
        </is>
      </c>
      <c r="D279" s="8" t="inlineStr">
        <is>
          <t>Utah</t>
        </is>
      </c>
      <c r="E279" s="8" t="inlineStr">
        <is>
          <t>Men's Athletic Footwear</t>
        </is>
      </c>
      <c r="F279" s="9" t="n">
        <v>106.09</v>
      </c>
      <c r="G279" s="10" t="n">
        <v>1654</v>
      </c>
      <c r="H279" s="9" t="n">
        <v>175472.86</v>
      </c>
      <c r="I279" s="9" t="n">
        <v>78506.56</v>
      </c>
      <c r="J279" s="11" t="n">
        <v>0.4474</v>
      </c>
      <c r="K279" s="8" t="inlineStr">
        <is>
          <t>In-store</t>
        </is>
      </c>
    </row>
    <row r="280">
      <c r="A280" s="2" t="n">
        <v>44298</v>
      </c>
      <c r="B280" s="3" t="inlineStr">
        <is>
          <t>Walmart</t>
        </is>
      </c>
      <c r="C280" s="3" t="inlineStr">
        <is>
          <t>West</t>
        </is>
      </c>
      <c r="D280" s="3" t="inlineStr">
        <is>
          <t>Colorado</t>
        </is>
      </c>
      <c r="E280" s="3" t="inlineStr">
        <is>
          <t>Women's Athletic Footwear</t>
        </is>
      </c>
      <c r="F280" s="4" t="n">
        <v>100.31</v>
      </c>
      <c r="G280" s="5" t="n">
        <v>828</v>
      </c>
      <c r="H280" s="4" t="n">
        <v>83056.67999999999</v>
      </c>
      <c r="I280" s="4" t="n">
        <v>10797.37</v>
      </c>
      <c r="J280" s="6" t="n">
        <v>0.13</v>
      </c>
      <c r="K280" s="3" t="inlineStr">
        <is>
          <t>Outlet</t>
        </is>
      </c>
    </row>
    <row r="281">
      <c r="A281" s="7" t="n">
        <v>44707</v>
      </c>
      <c r="B281" s="8" t="inlineStr">
        <is>
          <t>Foot Locker</t>
        </is>
      </c>
      <c r="C281" s="8" t="inlineStr">
        <is>
          <t>Southeast</t>
        </is>
      </c>
      <c r="D281" s="8" t="inlineStr">
        <is>
          <t>Florida</t>
        </is>
      </c>
      <c r="E281" s="8" t="inlineStr">
        <is>
          <t>Men's Athletic Footwear</t>
        </is>
      </c>
      <c r="F281" s="9" t="n">
        <v>75.59999999999999</v>
      </c>
      <c r="G281" s="10" t="n">
        <v>1655</v>
      </c>
      <c r="H281" s="9" t="n">
        <v>125118</v>
      </c>
      <c r="I281" s="9" t="n">
        <v>40275.48</v>
      </c>
      <c r="J281" s="11" t="n">
        <v>0.3219</v>
      </c>
      <c r="K281" s="8" t="inlineStr">
        <is>
          <t>In-store</t>
        </is>
      </c>
    </row>
    <row r="282">
      <c r="A282" s="2" t="n">
        <v>44753</v>
      </c>
      <c r="B282" s="3" t="inlineStr">
        <is>
          <t>Foot Locker</t>
        </is>
      </c>
      <c r="C282" s="3" t="inlineStr">
        <is>
          <t>Midwest</t>
        </is>
      </c>
      <c r="D282" s="3" t="inlineStr">
        <is>
          <t>Illinois</t>
        </is>
      </c>
      <c r="E282" s="3" t="inlineStr">
        <is>
          <t>Men's Street Footwear</t>
        </is>
      </c>
      <c r="F282" s="4" t="n">
        <v>83.37</v>
      </c>
      <c r="G282" s="5" t="n">
        <v>1609</v>
      </c>
      <c r="H282" s="4" t="n">
        <v>134142.33</v>
      </c>
      <c r="I282" s="4" t="n">
        <v>26077.27</v>
      </c>
      <c r="J282" s="6" t="n">
        <v>0.1944</v>
      </c>
      <c r="K282" s="3" t="inlineStr">
        <is>
          <t>Online</t>
        </is>
      </c>
    </row>
    <row r="283">
      <c r="A283" s="7" t="n">
        <v>43867</v>
      </c>
      <c r="B283" s="8" t="inlineStr">
        <is>
          <t>West Gear</t>
        </is>
      </c>
      <c r="C283" s="8" t="inlineStr">
        <is>
          <t>Southwest</t>
        </is>
      </c>
      <c r="D283" s="8" t="inlineStr">
        <is>
          <t>Oklahoma</t>
        </is>
      </c>
      <c r="E283" s="8" t="inlineStr">
        <is>
          <t>Men's Apparel</t>
        </is>
      </c>
      <c r="F283" s="9" t="n">
        <v>78.97</v>
      </c>
      <c r="G283" s="10" t="n">
        <v>103</v>
      </c>
      <c r="H283" s="9" t="n">
        <v>8133.91</v>
      </c>
      <c r="I283" s="9" t="n">
        <v>1068.8</v>
      </c>
      <c r="J283" s="11" t="n">
        <v>0.1314</v>
      </c>
      <c r="K283" s="8" t="inlineStr">
        <is>
          <t>Outlet</t>
        </is>
      </c>
    </row>
    <row r="284">
      <c r="A284" s="2" t="n">
        <v>44612</v>
      </c>
      <c r="B284" s="3" t="inlineStr">
        <is>
          <t>Target</t>
        </is>
      </c>
      <c r="C284" s="3" t="inlineStr">
        <is>
          <t>West</t>
        </is>
      </c>
      <c r="D284" s="3" t="inlineStr">
        <is>
          <t>Oregon</t>
        </is>
      </c>
      <c r="E284" s="3" t="inlineStr">
        <is>
          <t>Women's Street Footwear</t>
        </is>
      </c>
      <c r="F284" s="4" t="n">
        <v>65.02</v>
      </c>
      <c r="G284" s="5" t="n">
        <v>844</v>
      </c>
      <c r="H284" s="4" t="n">
        <v>54876.88</v>
      </c>
      <c r="I284" s="4" t="n">
        <v>20452.61</v>
      </c>
      <c r="J284" s="6" t="n">
        <v>0.3727</v>
      </c>
      <c r="K284" s="3" t="inlineStr">
        <is>
          <t>In-store</t>
        </is>
      </c>
    </row>
    <row r="285">
      <c r="A285" s="7" t="n">
        <v>44812</v>
      </c>
      <c r="B285" s="8" t="inlineStr">
        <is>
          <t>Amazon</t>
        </is>
      </c>
      <c r="C285" s="8" t="inlineStr">
        <is>
          <t>West</t>
        </is>
      </c>
      <c r="D285" s="8" t="inlineStr">
        <is>
          <t>Utah</t>
        </is>
      </c>
      <c r="E285" s="8" t="inlineStr">
        <is>
          <t>Women's Apparel</t>
        </is>
      </c>
      <c r="F285" s="9" t="n">
        <v>50.34</v>
      </c>
      <c r="G285" s="10" t="n">
        <v>600</v>
      </c>
      <c r="H285" s="9" t="n">
        <v>30204</v>
      </c>
      <c r="I285" s="9" t="n">
        <v>6203.9</v>
      </c>
      <c r="J285" s="11" t="n">
        <v>0.2054</v>
      </c>
      <c r="K285" s="8" t="inlineStr">
        <is>
          <t>Online</t>
        </is>
      </c>
    </row>
    <row r="286">
      <c r="A286" s="2" t="n">
        <v>44258</v>
      </c>
      <c r="B286" s="3" t="inlineStr">
        <is>
          <t>Sports Direct</t>
        </is>
      </c>
      <c r="C286" s="3" t="inlineStr">
        <is>
          <t>Southeast</t>
        </is>
      </c>
      <c r="D286" s="3" t="inlineStr">
        <is>
          <t>Virginia</t>
        </is>
      </c>
      <c r="E286" s="3" t="inlineStr">
        <is>
          <t>Women's Street Footwear</t>
        </is>
      </c>
      <c r="F286" s="4" t="n">
        <v>88.11</v>
      </c>
      <c r="G286" s="5" t="n">
        <v>207</v>
      </c>
      <c r="H286" s="4" t="n">
        <v>18238.77</v>
      </c>
      <c r="I286" s="4" t="n">
        <v>4129.26</v>
      </c>
      <c r="J286" s="6" t="n">
        <v>0.2264</v>
      </c>
      <c r="K286" s="3" t="inlineStr">
        <is>
          <t>Online</t>
        </is>
      </c>
    </row>
    <row r="287">
      <c r="A287" s="7" t="n">
        <v>44186</v>
      </c>
      <c r="B287" s="8" t="inlineStr">
        <is>
          <t>West Gear</t>
        </is>
      </c>
      <c r="C287" s="8" t="inlineStr">
        <is>
          <t>Southwest</t>
        </is>
      </c>
      <c r="D287" s="8" t="inlineStr">
        <is>
          <t>New Mexico</t>
        </is>
      </c>
      <c r="E287" s="8" t="inlineStr">
        <is>
          <t>Women's Athletic Footwear</t>
        </is>
      </c>
      <c r="F287" s="9" t="n">
        <v>42.84</v>
      </c>
      <c r="G287" s="10" t="n">
        <v>673</v>
      </c>
      <c r="H287" s="9" t="n">
        <v>28831.32</v>
      </c>
      <c r="I287" s="9" t="n">
        <v>2952.33</v>
      </c>
      <c r="J287" s="11" t="n">
        <v>0.1024</v>
      </c>
      <c r="K287" s="8" t="inlineStr">
        <is>
          <t>Online</t>
        </is>
      </c>
    </row>
    <row r="288">
      <c r="A288" s="2" t="n">
        <v>44374</v>
      </c>
      <c r="B288" s="3" t="inlineStr">
        <is>
          <t>Target</t>
        </is>
      </c>
      <c r="C288" s="3" t="inlineStr">
        <is>
          <t>West</t>
        </is>
      </c>
      <c r="D288" s="3" t="inlineStr">
        <is>
          <t>Colorado</t>
        </is>
      </c>
      <c r="E288" s="3" t="inlineStr">
        <is>
          <t>Men's Athletic Footwear</t>
        </is>
      </c>
      <c r="F288" s="4" t="n">
        <v>70.17</v>
      </c>
      <c r="G288" s="5" t="n">
        <v>1720</v>
      </c>
      <c r="H288" s="4" t="n">
        <v>120692.4</v>
      </c>
      <c r="I288" s="4" t="n">
        <v>46852.79</v>
      </c>
      <c r="J288" s="6" t="n">
        <v>0.3882</v>
      </c>
      <c r="K288" s="3" t="inlineStr">
        <is>
          <t>Online</t>
        </is>
      </c>
    </row>
    <row r="289">
      <c r="A289" s="7" t="n">
        <v>44839</v>
      </c>
      <c r="B289" s="8" t="inlineStr">
        <is>
          <t>West Gear</t>
        </is>
      </c>
      <c r="C289" s="8" t="inlineStr">
        <is>
          <t>Midwest</t>
        </is>
      </c>
      <c r="D289" s="8" t="inlineStr">
        <is>
          <t>Michigan</t>
        </is>
      </c>
      <c r="E289" s="8" t="inlineStr">
        <is>
          <t>Women's Apparel</t>
        </is>
      </c>
      <c r="F289" s="9" t="n">
        <v>87.48</v>
      </c>
      <c r="G289" s="10" t="n">
        <v>413</v>
      </c>
      <c r="H289" s="9" t="n">
        <v>36129.24</v>
      </c>
      <c r="I289" s="9" t="n">
        <v>15810.16</v>
      </c>
      <c r="J289" s="11" t="n">
        <v>0.4376</v>
      </c>
      <c r="K289" s="8" t="inlineStr">
        <is>
          <t>In-store</t>
        </is>
      </c>
    </row>
    <row r="290">
      <c r="A290" s="2" t="n">
        <v>44340</v>
      </c>
      <c r="B290" s="3" t="inlineStr">
        <is>
          <t>Target</t>
        </is>
      </c>
      <c r="C290" s="3" t="inlineStr">
        <is>
          <t>Southwest</t>
        </is>
      </c>
      <c r="D290" s="3" t="inlineStr">
        <is>
          <t>New Mexico</t>
        </is>
      </c>
      <c r="E290" s="3" t="inlineStr">
        <is>
          <t>Women's Athletic Footwear</t>
        </is>
      </c>
      <c r="F290" s="4" t="n">
        <v>75.13</v>
      </c>
      <c r="G290" s="5" t="n">
        <v>1722</v>
      </c>
      <c r="H290" s="4" t="n">
        <v>129373.86</v>
      </c>
      <c r="I290" s="4" t="n">
        <v>48528.13</v>
      </c>
      <c r="J290" s="6" t="n">
        <v>0.3751</v>
      </c>
      <c r="K290" s="3" t="inlineStr">
        <is>
          <t>Online</t>
        </is>
      </c>
    </row>
    <row r="291">
      <c r="A291" s="7" t="n">
        <v>44246</v>
      </c>
      <c r="B291" s="8" t="inlineStr">
        <is>
          <t>West Gear</t>
        </is>
      </c>
      <c r="C291" s="8" t="inlineStr">
        <is>
          <t>Southeast</t>
        </is>
      </c>
      <c r="D291" s="8" t="inlineStr">
        <is>
          <t>Tennessee</t>
        </is>
      </c>
      <c r="E291" s="8" t="inlineStr">
        <is>
          <t>Women's Athletic Footwear</t>
        </is>
      </c>
      <c r="F291" s="9" t="n">
        <v>122.11</v>
      </c>
      <c r="G291" s="10" t="n">
        <v>105</v>
      </c>
      <c r="H291" s="9" t="n">
        <v>12821.55</v>
      </c>
      <c r="I291" s="9" t="n">
        <v>5559.42</v>
      </c>
      <c r="J291" s="11" t="n">
        <v>0.4336</v>
      </c>
      <c r="K291" s="8" t="inlineStr">
        <is>
          <t>Outlet</t>
        </is>
      </c>
    </row>
    <row r="292">
      <c r="A292" s="2" t="n">
        <v>44537</v>
      </c>
      <c r="B292" s="3" t="inlineStr">
        <is>
          <t>Target</t>
        </is>
      </c>
      <c r="C292" s="3" t="inlineStr">
        <is>
          <t>Southwest</t>
        </is>
      </c>
      <c r="D292" s="3" t="inlineStr">
        <is>
          <t>Nevada</t>
        </is>
      </c>
      <c r="E292" s="3" t="inlineStr">
        <is>
          <t>Women's Apparel</t>
        </is>
      </c>
      <c r="F292" s="4" t="n">
        <v>128.28</v>
      </c>
      <c r="G292" s="5" t="n">
        <v>1679</v>
      </c>
      <c r="H292" s="4" t="n">
        <v>215382.12</v>
      </c>
      <c r="I292" s="4" t="n">
        <v>81479.06</v>
      </c>
      <c r="J292" s="6" t="n">
        <v>0.3783</v>
      </c>
      <c r="K292" s="3" t="inlineStr">
        <is>
          <t>In-store</t>
        </is>
      </c>
    </row>
    <row r="293">
      <c r="A293" s="7" t="n">
        <v>44778</v>
      </c>
      <c r="B293" s="8" t="inlineStr">
        <is>
          <t>Sports Direct</t>
        </is>
      </c>
      <c r="C293" s="8" t="inlineStr">
        <is>
          <t>Midwest</t>
        </is>
      </c>
      <c r="D293" s="8" t="inlineStr">
        <is>
          <t>Ohio</t>
        </is>
      </c>
      <c r="E293" s="8" t="inlineStr">
        <is>
          <t>Women's Apparel</t>
        </is>
      </c>
      <c r="F293" s="9" t="n">
        <v>115.83</v>
      </c>
      <c r="G293" s="10" t="n">
        <v>1666</v>
      </c>
      <c r="H293" s="9" t="n">
        <v>192972.78</v>
      </c>
      <c r="I293" s="9" t="n">
        <v>44750.39</v>
      </c>
      <c r="J293" s="11" t="n">
        <v>0.2319</v>
      </c>
      <c r="K293" s="8" t="inlineStr">
        <is>
          <t>In-store</t>
        </is>
      </c>
    </row>
    <row r="294">
      <c r="A294" s="2" t="n">
        <v>44485</v>
      </c>
      <c r="B294" s="3" t="inlineStr">
        <is>
          <t>West Gear</t>
        </is>
      </c>
      <c r="C294" s="3" t="inlineStr">
        <is>
          <t>West</t>
        </is>
      </c>
      <c r="D294" s="3" t="inlineStr">
        <is>
          <t>Colorado</t>
        </is>
      </c>
      <c r="E294" s="3" t="inlineStr">
        <is>
          <t>Men's Apparel</t>
        </is>
      </c>
      <c r="F294" s="4" t="n">
        <v>80.2</v>
      </c>
      <c r="G294" s="5" t="n">
        <v>125</v>
      </c>
      <c r="H294" s="4" t="n">
        <v>10025</v>
      </c>
      <c r="I294" s="4" t="n">
        <v>3777.42</v>
      </c>
      <c r="J294" s="6" t="n">
        <v>0.3768</v>
      </c>
      <c r="K294" s="3" t="inlineStr">
        <is>
          <t>Outlet</t>
        </is>
      </c>
    </row>
    <row r="295">
      <c r="A295" s="7" t="n">
        <v>44556</v>
      </c>
      <c r="B295" s="8" t="inlineStr">
        <is>
          <t>Kohl's</t>
        </is>
      </c>
      <c r="C295" s="8" t="inlineStr">
        <is>
          <t>West</t>
        </is>
      </c>
      <c r="D295" s="8" t="inlineStr">
        <is>
          <t>Utah</t>
        </is>
      </c>
      <c r="E295" s="8" t="inlineStr">
        <is>
          <t>Men's Street Footwear</t>
        </is>
      </c>
      <c r="F295" s="9" t="n">
        <v>122.27</v>
      </c>
      <c r="G295" s="10" t="n">
        <v>1396</v>
      </c>
      <c r="H295" s="9" t="n">
        <v>170688.92</v>
      </c>
      <c r="I295" s="9" t="n">
        <v>56771.13</v>
      </c>
      <c r="J295" s="11" t="n">
        <v>0.3326</v>
      </c>
      <c r="K295" s="8" t="inlineStr">
        <is>
          <t>In-store</t>
        </is>
      </c>
    </row>
    <row r="296">
      <c r="A296" s="2" t="n">
        <v>44155</v>
      </c>
      <c r="B296" s="3" t="inlineStr">
        <is>
          <t>Kohl's</t>
        </is>
      </c>
      <c r="C296" s="3" t="inlineStr">
        <is>
          <t>Northeast</t>
        </is>
      </c>
      <c r="D296" s="3" t="inlineStr">
        <is>
          <t>Connecticut</t>
        </is>
      </c>
      <c r="E296" s="3" t="inlineStr">
        <is>
          <t>Women's Apparel</t>
        </is>
      </c>
      <c r="F296" s="4" t="n">
        <v>77.95</v>
      </c>
      <c r="G296" s="5" t="n">
        <v>1591</v>
      </c>
      <c r="H296" s="4" t="n">
        <v>124018.45</v>
      </c>
      <c r="I296" s="4" t="n">
        <v>26800.39</v>
      </c>
      <c r="J296" s="6" t="n">
        <v>0.2161</v>
      </c>
      <c r="K296" s="3" t="inlineStr">
        <is>
          <t>Outlet</t>
        </is>
      </c>
    </row>
    <row r="297">
      <c r="A297" s="7" t="n">
        <v>44228</v>
      </c>
      <c r="B297" s="8" t="inlineStr">
        <is>
          <t>Amazon</t>
        </is>
      </c>
      <c r="C297" s="8" t="inlineStr">
        <is>
          <t>Northeast</t>
        </is>
      </c>
      <c r="D297" s="8" t="inlineStr">
        <is>
          <t>Massachusetts</t>
        </is>
      </c>
      <c r="E297" s="8" t="inlineStr">
        <is>
          <t>Men's Apparel</t>
        </is>
      </c>
      <c r="F297" s="9" t="n">
        <v>92.26000000000001</v>
      </c>
      <c r="G297" s="10" t="n">
        <v>1238</v>
      </c>
      <c r="H297" s="9" t="n">
        <v>114217.88</v>
      </c>
      <c r="I297" s="9" t="n">
        <v>38914.03</v>
      </c>
      <c r="J297" s="11" t="n">
        <v>0.3407</v>
      </c>
      <c r="K297" s="8" t="inlineStr">
        <is>
          <t>Outlet</t>
        </is>
      </c>
    </row>
    <row r="298">
      <c r="A298" s="2" t="n">
        <v>44055</v>
      </c>
      <c r="B298" s="3" t="inlineStr">
        <is>
          <t>Target</t>
        </is>
      </c>
      <c r="C298" s="3" t="inlineStr">
        <is>
          <t>Southwest</t>
        </is>
      </c>
      <c r="D298" s="3" t="inlineStr">
        <is>
          <t>Oklahoma</t>
        </is>
      </c>
      <c r="E298" s="3" t="inlineStr">
        <is>
          <t>Women's Apparel</t>
        </is>
      </c>
      <c r="F298" s="4" t="n">
        <v>112.85</v>
      </c>
      <c r="G298" s="5" t="n">
        <v>358</v>
      </c>
      <c r="H298" s="4" t="n">
        <v>40400.3</v>
      </c>
      <c r="I298" s="4" t="n">
        <v>8916.35</v>
      </c>
      <c r="J298" s="6" t="n">
        <v>0.2207</v>
      </c>
      <c r="K298" s="3" t="inlineStr">
        <is>
          <t>Outlet</t>
        </is>
      </c>
    </row>
    <row r="299">
      <c r="A299" s="7" t="n">
        <v>44047</v>
      </c>
      <c r="B299" s="8" t="inlineStr">
        <is>
          <t>Foot Locker</t>
        </is>
      </c>
      <c r="C299" s="8" t="inlineStr">
        <is>
          <t>Midwest</t>
        </is>
      </c>
      <c r="D299" s="8" t="inlineStr">
        <is>
          <t>Wisconsin</t>
        </is>
      </c>
      <c r="E299" s="8" t="inlineStr">
        <is>
          <t>Men's Street Footwear</t>
        </is>
      </c>
      <c r="F299" s="9" t="n">
        <v>47</v>
      </c>
      <c r="G299" s="10" t="n">
        <v>688</v>
      </c>
      <c r="H299" s="9" t="n">
        <v>32336</v>
      </c>
      <c r="I299" s="9" t="n">
        <v>7117.15</v>
      </c>
      <c r="J299" s="11" t="n">
        <v>0.2201</v>
      </c>
      <c r="K299" s="8" t="inlineStr">
        <is>
          <t>Outlet</t>
        </is>
      </c>
    </row>
    <row r="300">
      <c r="A300" s="2" t="n">
        <v>44090</v>
      </c>
      <c r="B300" s="3" t="inlineStr">
        <is>
          <t>Foot Locker</t>
        </is>
      </c>
      <c r="C300" s="3" t="inlineStr">
        <is>
          <t>Midwest</t>
        </is>
      </c>
      <c r="D300" s="3" t="inlineStr">
        <is>
          <t>Wisconsin</t>
        </is>
      </c>
      <c r="E300" s="3" t="inlineStr">
        <is>
          <t>Women's Street Footwear</t>
        </is>
      </c>
      <c r="F300" s="4" t="n">
        <v>113.61</v>
      </c>
      <c r="G300" s="5" t="n">
        <v>703</v>
      </c>
      <c r="H300" s="4" t="n">
        <v>79867.83</v>
      </c>
      <c r="I300" s="4" t="n">
        <v>9863.68</v>
      </c>
      <c r="J300" s="6" t="n">
        <v>0.1235</v>
      </c>
      <c r="K300" s="3" t="inlineStr">
        <is>
          <t>Outlet</t>
        </is>
      </c>
    </row>
    <row r="301">
      <c r="A301" s="7" t="n">
        <v>44169</v>
      </c>
      <c r="B301" s="8" t="inlineStr">
        <is>
          <t>Kohl's</t>
        </is>
      </c>
      <c r="C301" s="8" t="inlineStr">
        <is>
          <t>Northeast</t>
        </is>
      </c>
      <c r="D301" s="8" t="inlineStr">
        <is>
          <t>Massachusetts</t>
        </is>
      </c>
      <c r="E301" s="8" t="inlineStr">
        <is>
          <t>Men's Street Footwear</t>
        </is>
      </c>
      <c r="F301" s="9" t="n">
        <v>126.01</v>
      </c>
      <c r="G301" s="10" t="n">
        <v>1954</v>
      </c>
      <c r="H301" s="9" t="n">
        <v>246223.54</v>
      </c>
      <c r="I301" s="9" t="n">
        <v>109421.74</v>
      </c>
      <c r="J301" s="11" t="n">
        <v>0.4444</v>
      </c>
      <c r="K301" s="8" t="inlineStr">
        <is>
          <t>Outlet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20" customWidth="1" min="4" max="4"/>
    <col width="18" customWidth="1" min="5" max="5"/>
  </cols>
  <sheetData>
    <row r="1" ht="36" customHeight="1">
      <c r="A1" s="12" t="inlineStr">
        <is>
          <t>Nike Sales – Summary Dashboard</t>
        </is>
      </c>
    </row>
    <row r="3" ht="22" customHeight="1">
      <c r="A3" s="13" t="inlineStr">
        <is>
          <t>Total Sale Value</t>
        </is>
      </c>
      <c r="B3" s="13" t="inlineStr">
        <is>
          <t>Total Units Sold</t>
        </is>
      </c>
      <c r="C3" s="13" t="inlineStr">
        <is>
          <t>Total Orders</t>
        </is>
      </c>
      <c r="D3" s="13" t="inlineStr">
        <is>
          <t>Avg Operating Margin</t>
        </is>
      </c>
      <c r="E3" s="13" t="inlineStr">
        <is>
          <t>Avg Price per Unit</t>
        </is>
      </c>
    </row>
    <row r="4" ht="30" customHeight="1">
      <c r="A4" s="14">
        <f>SUM('Nike Dataset'!H2:H301)</f>
        <v/>
      </c>
      <c r="B4" s="15">
        <f>SUM('Nike Dataset'!G2:G301)</f>
        <v/>
      </c>
      <c r="C4" s="15">
        <f>COUNTA('Nike Dataset'!A2:A301)</f>
        <v/>
      </c>
      <c r="D4" s="16">
        <f>AVERAGE('Nike Dataset'!J2:J301)</f>
        <v/>
      </c>
      <c r="E4" s="14">
        <f>AVERAGE('Nike Dataset'!F2:F301)</f>
        <v/>
      </c>
    </row>
    <row r="6">
      <c r="A6" s="17" t="inlineStr">
        <is>
          <t>Sales by Region</t>
        </is>
      </c>
      <c r="D6" s="17" t="inlineStr">
        <is>
          <t>Sales by Retailer</t>
        </is>
      </c>
    </row>
    <row r="7">
      <c r="A7" s="18" t="inlineStr">
        <is>
          <t>Region</t>
        </is>
      </c>
      <c r="B7" s="18" t="inlineStr">
        <is>
          <t>Total Sale Value</t>
        </is>
      </c>
      <c r="D7" s="18" t="inlineStr">
        <is>
          <t>Retailer</t>
        </is>
      </c>
      <c r="E7" s="18" t="inlineStr">
        <is>
          <t>Total Sale Value</t>
        </is>
      </c>
    </row>
    <row r="8">
      <c r="A8" s="19" t="inlineStr">
        <is>
          <t>Northeast</t>
        </is>
      </c>
      <c r="B8" s="20">
        <f>SUMIF('Nike Dataset'!C2:C301,A8,'Nike Dataset'!H2:H301)</f>
        <v/>
      </c>
      <c r="D8" s="19" t="inlineStr">
        <is>
          <t>Foot Locker</t>
        </is>
      </c>
      <c r="E8" s="20">
        <f>SUMIF('Nike Dataset'!B2:B301,D8,'Nike Dataset'!H2:H301)</f>
        <v/>
      </c>
    </row>
    <row r="9">
      <c r="A9" s="21" t="inlineStr">
        <is>
          <t>Southeast</t>
        </is>
      </c>
      <c r="B9" s="22">
        <f>SUMIF('Nike Dataset'!C2:C301,A9,'Nike Dataset'!H2:H301)</f>
        <v/>
      </c>
      <c r="D9" s="21" t="inlineStr">
        <is>
          <t>Amazon</t>
        </is>
      </c>
      <c r="E9" s="22">
        <f>SUMIF('Nike Dataset'!B2:B301,D9,'Nike Dataset'!H2:H301)</f>
        <v/>
      </c>
    </row>
    <row r="10">
      <c r="A10" s="19" t="inlineStr">
        <is>
          <t>Midwest</t>
        </is>
      </c>
      <c r="B10" s="20">
        <f>SUMIF('Nike Dataset'!C2:C301,A10,'Nike Dataset'!H2:H301)</f>
        <v/>
      </c>
      <c r="D10" s="19" t="inlineStr">
        <is>
          <t>Sports Direct</t>
        </is>
      </c>
      <c r="E10" s="20">
        <f>SUMIF('Nike Dataset'!B2:B301,D10,'Nike Dataset'!H2:H301)</f>
        <v/>
      </c>
    </row>
    <row r="11">
      <c r="A11" s="21" t="inlineStr">
        <is>
          <t>Southwest</t>
        </is>
      </c>
      <c r="B11" s="22">
        <f>SUMIF('Nike Dataset'!C2:C301,A11,'Nike Dataset'!H2:H301)</f>
        <v/>
      </c>
      <c r="D11" s="21" t="inlineStr">
        <is>
          <t>Walmart</t>
        </is>
      </c>
      <c r="E11" s="22">
        <f>SUMIF('Nike Dataset'!B2:B301,D11,'Nike Dataset'!H2:H301)</f>
        <v/>
      </c>
    </row>
    <row r="12">
      <c r="A12" s="19" t="inlineStr">
        <is>
          <t>West</t>
        </is>
      </c>
      <c r="B12" s="20">
        <f>SUMIF('Nike Dataset'!C2:C301,A12,'Nike Dataset'!H2:H301)</f>
        <v/>
      </c>
      <c r="D12" s="19" t="inlineStr">
        <is>
          <t>West Gear</t>
        </is>
      </c>
      <c r="E12" s="20">
        <f>SUMIF('Nike Dataset'!B2:B301,D12,'Nike Dataset'!H2:H301)</f>
        <v/>
      </c>
    </row>
    <row r="13">
      <c r="A13" s="23" t="inlineStr">
        <is>
          <t>Grand Total</t>
        </is>
      </c>
      <c r="B13" s="24">
        <f>SUM(B8:B12)</f>
        <v/>
      </c>
      <c r="D13" s="21" t="inlineStr">
        <is>
          <t>Kohl's</t>
        </is>
      </c>
      <c r="E13" s="22">
        <f>SUMIF('Nike Dataset'!B2:B301,D13,'Nike Dataset'!H2:H301)</f>
        <v/>
      </c>
    </row>
    <row r="14">
      <c r="D14" s="19" t="inlineStr">
        <is>
          <t>Target</t>
        </is>
      </c>
      <c r="E14" s="20">
        <f>SUMIF('Nike Dataset'!B2:B301,D14,'Nike Dataset'!H2:H301)</f>
        <v/>
      </c>
    </row>
    <row r="15">
      <c r="D15" s="23" t="inlineStr">
        <is>
          <t>Grand Total</t>
        </is>
      </c>
      <c r="E15" s="24">
        <f>SUM(E8:E14)</f>
        <v/>
      </c>
    </row>
  </sheetData>
  <mergeCells count="3">
    <mergeCell ref="D6:E6"/>
    <mergeCell ref="A1:E1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25" t="inlineStr">
        <is>
          <t>Nike Sales – Product Analysis</t>
        </is>
      </c>
    </row>
    <row r="2" ht="26" customHeight="1">
      <c r="A2" s="1" t="inlineStr">
        <is>
          <t>Product</t>
        </is>
      </c>
      <c r="B2" s="1" t="inlineStr">
        <is>
          <t>Units Sold</t>
        </is>
      </c>
      <c r="C2" s="1" t="inlineStr">
        <is>
          <t>Sale Value</t>
        </is>
      </c>
      <c r="D2" s="1" t="inlineStr">
        <is>
          <t>Operating Profit</t>
        </is>
      </c>
      <c r="E2" s="1" t="inlineStr">
        <is>
          <t>Avg Margin</t>
        </is>
      </c>
    </row>
    <row r="3">
      <c r="A3" s="21" t="inlineStr">
        <is>
          <t>Men's Street Footwear</t>
        </is>
      </c>
      <c r="B3" s="26">
        <f>SUMIF('Nike Dataset'!E2:E301,A3,'Nike Dataset'!G2:G301)</f>
        <v/>
      </c>
      <c r="C3" s="22">
        <f>SUMIF('Nike Dataset'!E2:E301,A3,'Nike Dataset'!H2:H301)</f>
        <v/>
      </c>
      <c r="D3" s="22">
        <f>SUMIF('Nike Dataset'!E2:E301,A3,'Nike Dataset'!I2:I301)</f>
        <v/>
      </c>
      <c r="E3" s="27">
        <f>AVERAGEIF('Nike Dataset'!E2:E301,A3,'Nike Dataset'!J2:J301)</f>
        <v/>
      </c>
    </row>
    <row r="4">
      <c r="A4" s="19" t="inlineStr">
        <is>
          <t>Women's Athletic Footwear</t>
        </is>
      </c>
      <c r="B4" s="28">
        <f>SUMIF('Nike Dataset'!E2:E301,A4,'Nike Dataset'!G2:G301)</f>
        <v/>
      </c>
      <c r="C4" s="20">
        <f>SUMIF('Nike Dataset'!E2:E301,A4,'Nike Dataset'!H2:H301)</f>
        <v/>
      </c>
      <c r="D4" s="20">
        <f>SUMIF('Nike Dataset'!E2:E301,A4,'Nike Dataset'!I2:I301)</f>
        <v/>
      </c>
      <c r="E4" s="29">
        <f>AVERAGEIF('Nike Dataset'!E2:E301,A4,'Nike Dataset'!J2:J301)</f>
        <v/>
      </c>
    </row>
    <row r="5">
      <c r="A5" s="21" t="inlineStr">
        <is>
          <t>Men's Athletic Footwear</t>
        </is>
      </c>
      <c r="B5" s="26">
        <f>SUMIF('Nike Dataset'!E2:E301,A5,'Nike Dataset'!G2:G301)</f>
        <v/>
      </c>
      <c r="C5" s="22">
        <f>SUMIF('Nike Dataset'!E2:E301,A5,'Nike Dataset'!H2:H301)</f>
        <v/>
      </c>
      <c r="D5" s="22">
        <f>SUMIF('Nike Dataset'!E2:E301,A5,'Nike Dataset'!I2:I301)</f>
        <v/>
      </c>
      <c r="E5" s="27">
        <f>AVERAGEIF('Nike Dataset'!E2:E301,A5,'Nike Dataset'!J2:J301)</f>
        <v/>
      </c>
    </row>
    <row r="6">
      <c r="A6" s="19" t="inlineStr">
        <is>
          <t>Women's Street Footwear</t>
        </is>
      </c>
      <c r="B6" s="28">
        <f>SUMIF('Nike Dataset'!E2:E301,A6,'Nike Dataset'!G2:G301)</f>
        <v/>
      </c>
      <c r="C6" s="20">
        <f>SUMIF('Nike Dataset'!E2:E301,A6,'Nike Dataset'!H2:H301)</f>
        <v/>
      </c>
      <c r="D6" s="20">
        <f>SUMIF('Nike Dataset'!E2:E301,A6,'Nike Dataset'!I2:I301)</f>
        <v/>
      </c>
      <c r="E6" s="29">
        <f>AVERAGEIF('Nike Dataset'!E2:E301,A6,'Nike Dataset'!J2:J301)</f>
        <v/>
      </c>
    </row>
    <row r="7">
      <c r="A7" s="21" t="inlineStr">
        <is>
          <t>Men's Apparel</t>
        </is>
      </c>
      <c r="B7" s="26">
        <f>SUMIF('Nike Dataset'!E2:E301,A7,'Nike Dataset'!G2:G301)</f>
        <v/>
      </c>
      <c r="C7" s="22">
        <f>SUMIF('Nike Dataset'!E2:E301,A7,'Nike Dataset'!H2:H301)</f>
        <v/>
      </c>
      <c r="D7" s="22">
        <f>SUMIF('Nike Dataset'!E2:E301,A7,'Nike Dataset'!I2:I301)</f>
        <v/>
      </c>
      <c r="E7" s="27">
        <f>AVERAGEIF('Nike Dataset'!E2:E301,A7,'Nike Dataset'!J2:J301)</f>
        <v/>
      </c>
    </row>
    <row r="8">
      <c r="A8" s="19" t="inlineStr">
        <is>
          <t>Women's Apparel</t>
        </is>
      </c>
      <c r="B8" s="28">
        <f>SUMIF('Nike Dataset'!E2:E301,A8,'Nike Dataset'!G2:G301)</f>
        <v/>
      </c>
      <c r="C8" s="20">
        <f>SUMIF('Nike Dataset'!E2:E301,A8,'Nike Dataset'!H2:H301)</f>
        <v/>
      </c>
      <c r="D8" s="20">
        <f>SUMIF('Nike Dataset'!E2:E301,A8,'Nike Dataset'!I2:I301)</f>
        <v/>
      </c>
      <c r="E8" s="29">
        <f>AVERAGEIF('Nike Dataset'!E2:E301,A8,'Nike Dataset'!J2:J301)</f>
        <v/>
      </c>
    </row>
    <row r="9">
      <c r="A9" s="30" t="inlineStr">
        <is>
          <t>Total</t>
        </is>
      </c>
      <c r="B9" s="31">
        <f>SUM(B3:B8)</f>
        <v/>
      </c>
      <c r="C9" s="32">
        <f>SUM(C3:C8)</f>
        <v/>
      </c>
      <c r="D9" s="32">
        <f>SUM(D3:D8)</f>
        <v/>
      </c>
      <c r="E9" s="33">
        <f>AVERAGE(E3:E8)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25" t="inlineStr">
        <is>
          <t>Nike Sales – Sales Method Breakdown</t>
        </is>
      </c>
    </row>
    <row r="2" ht="26" customHeight="1">
      <c r="A2" s="1" t="inlineStr">
        <is>
          <t>Sales Method</t>
        </is>
      </c>
      <c r="B2" s="1" t="inlineStr">
        <is>
          <t>Total Sale Value</t>
        </is>
      </c>
      <c r="C2" s="1" t="inlineStr">
        <is>
          <t>Units Sold</t>
        </is>
      </c>
      <c r="D2" s="1" t="inlineStr">
        <is>
          <t>% of Total Sales</t>
        </is>
      </c>
    </row>
    <row r="3">
      <c r="A3" s="34" t="inlineStr">
        <is>
          <t>In-store</t>
        </is>
      </c>
      <c r="B3" s="22">
        <f>SUMIF('Nike Dataset'!K2:K301,A3,'Nike Dataset'!H2:H301)</f>
        <v/>
      </c>
      <c r="C3" s="26">
        <f>SUMIF('Nike Dataset'!K2:K301,A3,'Nike Dataset'!G2:G301)</f>
        <v/>
      </c>
      <c r="D3" s="27">
        <f>B3/SUM(B3:B5)</f>
        <v/>
      </c>
    </row>
    <row r="4">
      <c r="A4" s="35" t="inlineStr">
        <is>
          <t>Online</t>
        </is>
      </c>
      <c r="B4" s="20">
        <f>SUMIF('Nike Dataset'!K2:K301,A4,'Nike Dataset'!H2:H301)</f>
        <v/>
      </c>
      <c r="C4" s="28">
        <f>SUMIF('Nike Dataset'!K2:K301,A4,'Nike Dataset'!G2:G301)</f>
        <v/>
      </c>
      <c r="D4" s="29">
        <f>B4/SUM(B3:B5)</f>
        <v/>
      </c>
    </row>
    <row r="5">
      <c r="A5" s="34" t="inlineStr">
        <is>
          <t>Outlet</t>
        </is>
      </c>
      <c r="B5" s="22">
        <f>SUMIF('Nike Dataset'!K2:K301,A5,'Nike Dataset'!H2:H301)</f>
        <v/>
      </c>
      <c r="C5" s="26">
        <f>SUMIF('Nike Dataset'!K2:K301,A5,'Nike Dataset'!G2:G301)</f>
        <v/>
      </c>
      <c r="D5" s="27">
        <f>B5/SUM(B3:B5)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2026-06-16T04:56:39Z</dcterms:created>
  <dcterms:modified xmlns:dcterms="http://purl.org/dc/terms/" xmlns:xsi="http://www.w3.org/2001/XMLSchema-instance" xsi:type="dcterms:W3CDTF">2026-06-16T04:56:40Z</dcterms:modified>
</cp:coreProperties>
</file>