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rchita\Downloads\"/>
    </mc:Choice>
  </mc:AlternateContent>
  <xr:revisionPtr revIDLastSave="0" documentId="8_{3F0287AF-8FF5-4AE7-9752-4C706364278B}" xr6:coauthVersionLast="47" xr6:coauthVersionMax="47" xr10:uidLastSave="{00000000-0000-0000-0000-000000000000}"/>
  <bookViews>
    <workbookView xWindow="-108" yWindow="-108" windowWidth="23256" windowHeight="12456" tabRatio="500" activeTab="2" xr2:uid="{00000000-000D-0000-FFFF-FFFF00000000}"/>
  </bookViews>
  <sheets>
    <sheet name="Nike Dataset" sheetId="1" r:id="rId1"/>
    <sheet name="Summary Data" sheetId="2" r:id="rId2"/>
    <sheet name="Dashboard - Page 1" sheetId="3" r:id="rId3"/>
    <sheet name="Dashboard - Page 2" sheetId="4" r:id="rId4"/>
    <sheet name="📋 How It Was Made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3" i="5" l="1"/>
  <c r="C20" i="5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F5" i="4"/>
  <c r="D5" i="4"/>
  <c r="I12" i="2"/>
  <c r="L11" i="2"/>
  <c r="I11" i="2"/>
  <c r="F11" i="2"/>
  <c r="E11" i="2"/>
  <c r="B11" i="2"/>
  <c r="L10" i="2"/>
  <c r="I10" i="2"/>
  <c r="F10" i="2"/>
  <c r="E10" i="2"/>
  <c r="O9" i="2"/>
  <c r="L9" i="2"/>
  <c r="I9" i="2"/>
  <c r="F9" i="2"/>
  <c r="E9" i="2"/>
  <c r="B9" i="2"/>
  <c r="F5" i="3" s="1"/>
  <c r="R8" i="2"/>
  <c r="O8" i="2"/>
  <c r="L8" i="2"/>
  <c r="I8" i="2"/>
  <c r="F8" i="2"/>
  <c r="E8" i="2"/>
  <c r="B8" i="2"/>
  <c r="R7" i="2"/>
  <c r="O7" i="2"/>
  <c r="L7" i="2"/>
  <c r="I7" i="2"/>
  <c r="F7" i="2"/>
  <c r="E7" i="2"/>
  <c r="B7" i="2"/>
  <c r="B5" i="4" s="1"/>
  <c r="D5" i="3"/>
  <c r="B10" i="2" l="1"/>
  <c r="B5" i="3"/>
</calcChain>
</file>

<file path=xl/sharedStrings.xml><?xml version="1.0" encoding="utf-8"?>
<sst xmlns="http://schemas.openxmlformats.org/spreadsheetml/2006/main" count="306" uniqueCount="128">
  <si>
    <t>Retailer</t>
  </si>
  <si>
    <t>Product</t>
  </si>
  <si>
    <t>Region</t>
  </si>
  <si>
    <t>State</t>
  </si>
  <si>
    <t>Sales Method</t>
  </si>
  <si>
    <t>Units Sold</t>
  </si>
  <si>
    <t>Sale Value</t>
  </si>
  <si>
    <t>Invoice Date</t>
  </si>
  <si>
    <t>Foot Locker</t>
  </si>
  <si>
    <t>Men's Street Footwear</t>
  </si>
  <si>
    <t>Northeast</t>
  </si>
  <si>
    <t>New York</t>
  </si>
  <si>
    <t>In-store</t>
  </si>
  <si>
    <t>2020-01-15</t>
  </si>
  <si>
    <t>Women's Apparel</t>
  </si>
  <si>
    <t>2020-02-20</t>
  </si>
  <si>
    <t>Amazon</t>
  </si>
  <si>
    <t>Men's Athletic Footwear</t>
  </si>
  <si>
    <t>West</t>
  </si>
  <si>
    <t>California</t>
  </si>
  <si>
    <t>Online</t>
  </si>
  <si>
    <t>2020-03-10</t>
  </si>
  <si>
    <t>Women's Street Footwear</t>
  </si>
  <si>
    <t>2020-04-05</t>
  </si>
  <si>
    <t>Walmart</t>
  </si>
  <si>
    <t>Men's Apparel</t>
  </si>
  <si>
    <t>South</t>
  </si>
  <si>
    <t>Texas</t>
  </si>
  <si>
    <t>2020-05-18</t>
  </si>
  <si>
    <t>Women's Athletic Footwear</t>
  </si>
  <si>
    <t>2020-06-22</t>
  </si>
  <si>
    <t>Nike Direct</t>
  </si>
  <si>
    <t>Midwest</t>
  </si>
  <si>
    <t>Illinois</t>
  </si>
  <si>
    <t>2020-07-11</t>
  </si>
  <si>
    <t>2020-08-30</t>
  </si>
  <si>
    <t>Sports Direct</t>
  </si>
  <si>
    <t>Southeast</t>
  </si>
  <si>
    <t>Florida</t>
  </si>
  <si>
    <t>Outlet</t>
  </si>
  <si>
    <t>2020-09-14</t>
  </si>
  <si>
    <t>2020-10-08</t>
  </si>
  <si>
    <t>Massachusetts</t>
  </si>
  <si>
    <t>2020-11-25</t>
  </si>
  <si>
    <t>Washington</t>
  </si>
  <si>
    <t>2020-12-01</t>
  </si>
  <si>
    <t>Georgia</t>
  </si>
  <si>
    <t>2021-01-17</t>
  </si>
  <si>
    <t>Oregon</t>
  </si>
  <si>
    <t>2021-02-28</t>
  </si>
  <si>
    <t>North Carolina</t>
  </si>
  <si>
    <t>2021-03-09</t>
  </si>
  <si>
    <t>Ohio</t>
  </si>
  <si>
    <t>2021-04-20</t>
  </si>
  <si>
    <t>Nevada</t>
  </si>
  <si>
    <t>2021-05-13</t>
  </si>
  <si>
    <t>Arizona</t>
  </si>
  <si>
    <t>2021-06-30</t>
  </si>
  <si>
    <t>Pennsylvania</t>
  </si>
  <si>
    <t>2021-07-22</t>
  </si>
  <si>
    <t>Virginia</t>
  </si>
  <si>
    <t>2021-08-05</t>
  </si>
  <si>
    <t>Michigan</t>
  </si>
  <si>
    <t>2021-09-18</t>
  </si>
  <si>
    <t>Colorado</t>
  </si>
  <si>
    <t>2021-10-29</t>
  </si>
  <si>
    <t>Tennessee</t>
  </si>
  <si>
    <t>2021-11-11</t>
  </si>
  <si>
    <t>New Jersey</t>
  </si>
  <si>
    <t>2021-12-24</t>
  </si>
  <si>
    <t>SUMMARY CALCULATIONS</t>
  </si>
  <si>
    <t>KPI</t>
  </si>
  <si>
    <t>Value</t>
  </si>
  <si>
    <t>Year</t>
  </si>
  <si>
    <t>Total Sale Value</t>
  </si>
  <si>
    <t>Total Units Sold</t>
  </si>
  <si>
    <t>Total Orders</t>
  </si>
  <si>
    <t>Avg Sale Value per Order</t>
  </si>
  <si>
    <t>Avg Units per Order</t>
  </si>
  <si>
    <t>⚡  NIKE SALES ANALYTICS DASHBOARD</t>
  </si>
  <si>
    <t>Sales Performance Overview  |  2020 – 2021</t>
  </si>
  <si>
    <t>💰  TOTAL SALE VALUE</t>
  </si>
  <si>
    <t>📦  TOTAL UNITS SOLD</t>
  </si>
  <si>
    <t>🛒  TOTAL ORDERS</t>
  </si>
  <si>
    <t>🔽 FILTER SLICERS
In Excel, use the Data tab → AutoFilter or Slicers on the Nike Dataset sheet to filter by:
• Retailer  • State
• Sales Method  • Year</t>
  </si>
  <si>
    <t>◆  CAPITAL BY REGION (Pie Chart)</t>
  </si>
  <si>
    <t>◆  APPAREL PERFORMANCE (Bar Chart)</t>
  </si>
  <si>
    <t>◆  GROWTH TRAJECTORY (Line Chart)</t>
  </si>
  <si>
    <t>◆  RETAILER PERFORMANCE (Bar Chart)</t>
  </si>
  <si>
    <t>◆  SALE METHOD SPLIT (Donut)</t>
  </si>
  <si>
    <t>⚡  NIKE SALES  |  GEOGRAPHIC &amp; REGIONAL VIEW</t>
  </si>
  <si>
    <t>State &amp; Region Breakdown  |  2020 – 2021</t>
  </si>
  <si>
    <t>◆  SALES BY STATE &amp; REGION</t>
  </si>
  <si>
    <t>◆  SALE VALUE BY REGION</t>
  </si>
  <si>
    <t>HOW THIS DASHBOARD WAS BUILT  (For Presentation Reference)</t>
  </si>
  <si>
    <t>SHEET</t>
  </si>
  <si>
    <t>PURPOSE</t>
  </si>
  <si>
    <t>Nike Dataset</t>
  </si>
  <si>
    <t>Raw data table with 24 rows — all sales transactions (Retailer, Product, Region, State, Sales Method, Units Sold, Sale Value, Invoice Date)</t>
  </si>
  <si>
    <t>Summary Data</t>
  </si>
  <si>
    <t>SUMIF / COUNTA formulas that aggregate the raw data by Region, Product, Retailer, Sales Method, and Year. Charts pull from here.</t>
  </si>
  <si>
    <t>Dashboard - Page 1</t>
  </si>
  <si>
    <t>Main overview dashboard: KPI cards (Total Sale Value, Units Sold, Orders) + 5 charts (Pie by Region, Bar by Product, Line by Year, Bar by Retailer, Pie by Sales Method)</t>
  </si>
  <si>
    <t>Dashboard - Page 2</t>
  </si>
  <si>
    <t>Geographic view: State-wise table with SUMIF formulas + Bar chart by Region. Mirrors the Power BI map page.</t>
  </si>
  <si>
    <t>VISUAL</t>
  </si>
  <si>
    <t>HOW IT WAS MADE</t>
  </si>
  <si>
    <t>KPI Cards</t>
  </si>
  <si>
    <t>Merged cells styled with dark fill + large bold font. Values pull from Summary Data sheet using = formula references.</t>
  </si>
  <si>
    <t>Pie Chart (Region)</t>
  </si>
  <si>
    <t>Insert → Chart → Pie. Data from Summary Data D7:E11. Shows % share of sale value per region.</t>
  </si>
  <si>
    <t>Bar Chart (Product)</t>
  </si>
  <si>
    <t>Insert → Chart → Column. Data from Summary Data H7:I12. X-axis = Products, Y-axis = Sale Value.</t>
  </si>
  <si>
    <t>Line Chart (Growth)</t>
  </si>
  <si>
    <t>Insert → Chart → Line. Data from Summary Data Q7:R8. Shows year-over-year revenue growth.</t>
  </si>
  <si>
    <t>Bar Chart (Retailer)</t>
  </si>
  <si>
    <t>Insert → Chart → Bar (horizontal). Data from Summary Data K7:L11. Compares retailer revenue.</t>
  </si>
  <si>
    <t>Pie Chart (Method)</t>
  </si>
  <si>
    <t>Insert → Chart → Pie. Data from Summary Data N7:O9. Shows In-store vs Online vs Outlet split.</t>
  </si>
  <si>
    <t>State Table (Page 2)</t>
  </si>
  <si>
    <t>SUMIF formulas that look up each state in the raw data and return the total Sale Value and Units Sold.</t>
  </si>
  <si>
    <t>Dark Theme</t>
  </si>
  <si>
    <t>All cells filled with dark hex colors (#1A1A2E background, #16213E cards) using PatternFill in openpyxl.</t>
  </si>
  <si>
    <t>KEY FORMULAS USED</t>
  </si>
  <si>
    <t>By Region (SUMIF)</t>
  </si>
  <si>
    <t>SUMIF('Nike Dataset'!C2:C25, RegionName, 'Nike Dataset'!G2:G25)</t>
  </si>
  <si>
    <t>By Year (SUMPRODUCT)</t>
  </si>
  <si>
    <t>SUMPRODUCT((YEAR(DATEVALUE('Nike Dataset'!H2:H25))=Year)*'Nike Dataset'!G2:G25)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</si>
</sst>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"/>
  </numFmts>
  <fonts count="17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color rgb="FFFFFFFF"/>
      <name val="Arial"/>
      <charset val="1"/>
    </font>
    <font>
      <sz val="10"/>
      <color rgb="FFC0C0C0"/>
      <name val="Arial"/>
      <charset val="1"/>
    </font>
    <font>
      <b/>
      <sz val="13"/>
      <color rgb="FFE94560"/>
      <name val="Arial"/>
      <charset val="1"/>
    </font>
    <font>
      <b/>
      <sz val="10"/>
      <color rgb="FFFFFFFF"/>
      <name val="Arial"/>
      <charset val="1"/>
    </font>
    <font>
      <b/>
      <sz val="18"/>
      <color rgb="FFFFFFFF"/>
      <name val="Arial"/>
      <charset val="1"/>
    </font>
    <font>
      <i/>
      <sz val="10"/>
      <color rgb="FFC0C0C0"/>
      <name val="Arial"/>
      <charset val="1"/>
    </font>
    <font>
      <b/>
      <sz val="9"/>
      <color rgb="FFC0C0C0"/>
      <name val="Arial"/>
      <charset val="1"/>
    </font>
    <font>
      <sz val="8"/>
      <color rgb="FFC0C0C0"/>
      <name val="Arial"/>
      <charset val="1"/>
    </font>
    <font>
      <b/>
      <sz val="16"/>
      <color rgb="FFE94560"/>
      <name val="Arial"/>
      <charset val="1"/>
    </font>
    <font>
      <b/>
      <sz val="10"/>
      <color rgb="FFE94560"/>
      <name val="Arial"/>
      <charset val="1"/>
    </font>
    <font>
      <b/>
      <sz val="16"/>
      <color rgb="FFFFFFFF"/>
      <name val="Arial"/>
      <charset val="1"/>
    </font>
    <font>
      <sz val="9"/>
      <color rgb="FFFFFFFF"/>
      <name val="Arial"/>
      <charset val="1"/>
    </font>
    <font>
      <sz val="9"/>
      <color rgb="FFC0C0C0"/>
      <name val="Arial"/>
      <charset val="1"/>
    </font>
    <font>
      <b/>
      <sz val="14"/>
      <color rgb="FFE94560"/>
      <name val="Arial"/>
      <charset val="1"/>
    </font>
    <font>
      <b/>
      <sz val="9"/>
      <color rgb="FFF5A623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E94560"/>
        <bgColor rgb="FF993366"/>
      </patternFill>
    </fill>
    <fill>
      <patternFill patternType="solid">
        <fgColor rgb="FF1E2A4A"/>
        <bgColor rgb="FF162447"/>
      </patternFill>
    </fill>
    <fill>
      <patternFill patternType="solid">
        <fgColor rgb="FF16213E"/>
        <bgColor rgb="FF162447"/>
      </patternFill>
    </fill>
    <fill>
      <patternFill patternType="solid">
        <fgColor rgb="FF1A1A2E"/>
        <bgColor rgb="FF16213E"/>
      </patternFill>
    </fill>
    <fill>
      <patternFill patternType="solid">
        <fgColor rgb="FF0F3460"/>
        <bgColor rgb="FF1E2A4A"/>
      </patternFill>
    </fill>
    <fill>
      <patternFill patternType="solid">
        <fgColor rgb="FF162447"/>
        <bgColor rgb="FF16213E"/>
      </patternFill>
    </fill>
    <fill>
      <patternFill patternType="solid">
        <fgColor rgb="FF0A1628"/>
        <bgColor rgb="FF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15" fillId="5" borderId="0" xfId="0" applyFont="1" applyFill="1" applyAlignment="1">
      <alignment horizontal="left" vertical="center" wrapText="1"/>
    </xf>
    <xf numFmtId="0" fontId="11" fillId="5" borderId="0" xfId="0" applyFont="1" applyFill="1"/>
    <xf numFmtId="0" fontId="12" fillId="2" borderId="0" xfId="0" applyFont="1" applyFill="1" applyAlignment="1">
      <alignment horizontal="center" vertical="center" wrapText="1"/>
    </xf>
    <xf numFmtId="3" fontId="10" fillId="4" borderId="0" xfId="0" applyNumberFormat="1" applyFont="1" applyFill="1" applyAlignment="1">
      <alignment horizontal="center" vertical="center" wrapText="1"/>
    </xf>
    <xf numFmtId="164" fontId="10" fillId="4" borderId="0" xfId="0" applyNumberFormat="1" applyFont="1" applyFill="1" applyAlignment="1">
      <alignment horizontal="center" vertical="center" wrapText="1"/>
    </xf>
    <xf numFmtId="0" fontId="9" fillId="8" borderId="0" xfId="0" applyFont="1" applyFill="1" applyAlignment="1">
      <alignment horizontal="left" vertical="top" wrapText="1"/>
    </xf>
    <xf numFmtId="0" fontId="7" fillId="6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3" fontId="2" fillId="3" borderId="0" xfId="0" applyNumberFormat="1" applyFont="1" applyFill="1" applyAlignment="1">
      <alignment horizontal="left" vertical="center" wrapText="1"/>
    </xf>
    <xf numFmtId="164" fontId="2" fillId="3" borderId="0" xfId="0" applyNumberFormat="1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3" fontId="3" fillId="4" borderId="0" xfId="0" applyNumberFormat="1" applyFont="1" applyFill="1" applyAlignment="1">
      <alignment horizontal="left" vertical="center" wrapText="1"/>
    </xf>
    <xf numFmtId="164" fontId="3" fillId="4" borderId="0" xfId="0" applyNumberFormat="1" applyFont="1" applyFill="1" applyAlignment="1">
      <alignment horizontal="left" vertical="center" wrapText="1"/>
    </xf>
    <xf numFmtId="0" fontId="4" fillId="5" borderId="0" xfId="0" applyFont="1" applyFill="1" applyAlignment="1">
      <alignment horizontal="left" vertical="center" wrapText="1"/>
    </xf>
    <xf numFmtId="0" fontId="0" fillId="5" borderId="0" xfId="0" applyFill="1"/>
    <xf numFmtId="0" fontId="5" fillId="6" borderId="0" xfId="0" applyFont="1" applyFill="1" applyAlignment="1">
      <alignment horizontal="center" vertical="center" wrapText="1"/>
    </xf>
    <xf numFmtId="0" fontId="3" fillId="4" borderId="0" xfId="0" applyFont="1" applyFill="1"/>
    <xf numFmtId="164" fontId="5" fillId="4" borderId="0" xfId="0" applyNumberFormat="1" applyFont="1" applyFill="1" applyAlignment="1">
      <alignment horizontal="center" vertical="center" wrapText="1"/>
    </xf>
    <xf numFmtId="164" fontId="2" fillId="4" borderId="0" xfId="0" applyNumberFormat="1" applyFont="1" applyFill="1"/>
    <xf numFmtId="3" fontId="2" fillId="4" borderId="0" xfId="0" applyNumberFormat="1" applyFont="1" applyFill="1"/>
    <xf numFmtId="3" fontId="5" fillId="4" borderId="0" xfId="0" applyNumberFormat="1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center" vertical="center" wrapText="1"/>
    </xf>
    <xf numFmtId="0" fontId="8" fillId="7" borderId="0" xfId="0" applyFont="1" applyFill="1" applyAlignment="1">
      <alignment horizontal="center" vertical="center" wrapText="1"/>
    </xf>
    <xf numFmtId="0" fontId="11" fillId="5" borderId="0" xfId="0" applyFont="1" applyFill="1" applyAlignment="1">
      <alignment horizontal="left" vertical="center" wrapText="1"/>
    </xf>
    <xf numFmtId="0" fontId="11" fillId="5" borderId="0" xfId="0" applyFont="1" applyFill="1"/>
    <xf numFmtId="0" fontId="13" fillId="3" borderId="0" xfId="0" applyFont="1" applyFill="1" applyAlignment="1">
      <alignment horizontal="left" vertical="center" wrapText="1"/>
    </xf>
    <xf numFmtId="0" fontId="14" fillId="3" borderId="0" xfId="0" applyFont="1" applyFill="1" applyAlignment="1">
      <alignment horizontal="center" vertical="center" wrapText="1"/>
    </xf>
    <xf numFmtId="164" fontId="13" fillId="3" borderId="0" xfId="0" applyNumberFormat="1" applyFont="1" applyFill="1"/>
    <xf numFmtId="3" fontId="13" fillId="3" borderId="0" xfId="0" applyNumberFormat="1" applyFont="1" applyFill="1"/>
    <xf numFmtId="0" fontId="13" fillId="4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center" vertical="center" wrapText="1"/>
    </xf>
    <xf numFmtId="164" fontId="13" fillId="4" borderId="0" xfId="0" applyNumberFormat="1" applyFont="1" applyFill="1"/>
    <xf numFmtId="3" fontId="13" fillId="4" borderId="0" xfId="0" applyNumberFormat="1" applyFont="1" applyFill="1"/>
    <xf numFmtId="0" fontId="5" fillId="2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4" fillId="4" borderId="0" xfId="0" applyFont="1" applyFill="1" applyAlignment="1">
      <alignment horizontal="left" vertical="center" wrapText="1"/>
    </xf>
    <xf numFmtId="164" fontId="13" fillId="4" borderId="0" xfId="0" applyNumberFormat="1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16213E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2E5F99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97BCA"/>
      <rgbColor rgb="FF2ECC71"/>
      <rgbColor rgb="FF99CC00"/>
      <rgbColor rgb="FFFFCC00"/>
      <rgbColor rgb="FFF5A623"/>
      <rgbColor rgb="FFE94560"/>
      <rgbColor rgb="FF9B59B6"/>
      <rgbColor rgb="FF969696"/>
      <rgbColor rgb="FF0F3460"/>
      <rgbColor rgb="FF3498DB"/>
      <rgbColor rgb="FF0A1628"/>
      <rgbColor rgb="FF1A1A2E"/>
      <rgbColor rgb="FF993300"/>
      <rgbColor rgb="FF993366"/>
      <rgbColor rgb="FF162447"/>
      <rgbColor rgb="FF1E2A4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Capital Generated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Data'!$E$6</c:f>
              <c:strCache>
                <c:ptCount val="1"/>
                <c:pt idx="0">
                  <c:v>Sale Value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E945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298E-4E78-9D14-63FC874784A5}"/>
              </c:ext>
            </c:extLst>
          </c:dPt>
          <c:dPt>
            <c:idx val="1"/>
            <c:bubble3D val="0"/>
            <c:spPr>
              <a:solidFill>
                <a:srgbClr val="3498D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298E-4E78-9D14-63FC874784A5}"/>
              </c:ext>
            </c:extLst>
          </c:dPt>
          <c:dPt>
            <c:idx val="2"/>
            <c:bubble3D val="0"/>
            <c:spPr>
              <a:solidFill>
                <a:srgbClr val="2ECC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298E-4E78-9D14-63FC874784A5}"/>
              </c:ext>
            </c:extLst>
          </c:dPt>
          <c:dPt>
            <c:idx val="3"/>
            <c:bubble3D val="0"/>
            <c:spPr>
              <a:solidFill>
                <a:srgbClr val="F5A62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7-298E-4E78-9D14-63FC874784A5}"/>
              </c:ext>
            </c:extLst>
          </c:dPt>
          <c:dPt>
            <c:idx val="4"/>
            <c:bubble3D val="0"/>
            <c:spPr>
              <a:solidFill>
                <a:srgbClr val="9B59B6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9-298E-4E78-9D14-63FC874784A5}"/>
              </c:ext>
            </c:extLst>
          </c:dPt>
          <c:dLbls>
            <c:dLbl>
              <c:idx val="0"/>
              <c:layout>
                <c:manualLayout>
                  <c:x val="4.603147559657704E-2"/>
                  <c:y val="0.10919534616329173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8E-4E78-9D14-63FC874784A5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298E-4E78-9D14-63FC874784A5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298E-4E78-9D14-63FC874784A5}"/>
                </c:ext>
              </c:extLst>
            </c:dLbl>
            <c:dLbl>
              <c:idx val="3"/>
              <c:layout>
                <c:manualLayout>
                  <c:x val="-5.353781524363093E-2"/>
                  <c:y val="0.45716668806233396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8E-4E78-9D14-63FC874784A5}"/>
                </c:ext>
              </c:extLst>
            </c:dLbl>
            <c:dLbl>
              <c:idx val="4"/>
              <c:layout>
                <c:manualLayout>
                  <c:x val="-0.19833918119991145"/>
                  <c:y val="0.11285295874171149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298E-4E78-9D14-63FC874784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Data'!$D$7:$D$11</c:f>
              <c:strCache>
                <c:ptCount val="5"/>
                <c:pt idx="0">
                  <c:v>Northeast</c:v>
                </c:pt>
                <c:pt idx="1">
                  <c:v>West</c:v>
                </c:pt>
                <c:pt idx="2">
                  <c:v>South</c:v>
                </c:pt>
                <c:pt idx="3">
                  <c:v>Midwest</c:v>
                </c:pt>
                <c:pt idx="4">
                  <c:v>Southeast</c:v>
                </c:pt>
              </c:strCache>
            </c:strRef>
          </c:cat>
          <c:val>
            <c:numRef>
              <c:f>'Summary Data'!$E$7:$E$11</c:f>
              <c:numCache>
                <c:formatCode>\$#,##0</c:formatCode>
                <c:ptCount val="5"/>
                <c:pt idx="0">
                  <c:v>365000</c:v>
                </c:pt>
                <c:pt idx="1">
                  <c:v>703500</c:v>
                </c:pt>
                <c:pt idx="2">
                  <c:v>544000</c:v>
                </c:pt>
                <c:pt idx="3">
                  <c:v>258200</c:v>
                </c:pt>
                <c:pt idx="4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98E-4E78-9D14-63FC874784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layout>
        <c:manualLayout>
          <c:xMode val="edge"/>
          <c:yMode val="edge"/>
          <c:x val="0.80730189065929869"/>
          <c:y val="0.4879506346140966"/>
          <c:w val="0.1508864806049188"/>
          <c:h val="0.40056352001518164"/>
        </c:manualLayout>
      </c:layout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Apparel Performance by Product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'Summary Data'!$I$6</c:f>
              <c:strCache>
                <c:ptCount val="1"/>
                <c:pt idx="0">
                  <c:v>Sale Value</c:v>
                </c:pt>
              </c:strCache>
            </c:strRef>
          </c:tx>
          <c:spPr>
            <a:solidFill>
              <a:srgbClr val="E9456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Data'!$H$7:$H$12</c:f>
              <c:strCache>
                <c:ptCount val="6"/>
                <c:pt idx="0">
                  <c:v>Men's Street Footwear</c:v>
                </c:pt>
                <c:pt idx="1">
                  <c:v>Women's Apparel</c:v>
                </c:pt>
                <c:pt idx="2">
                  <c:v>Men's Athletic Footwear</c:v>
                </c:pt>
                <c:pt idx="3">
                  <c:v>Women's Street Footwear</c:v>
                </c:pt>
                <c:pt idx="4">
                  <c:v>Men's Apparel</c:v>
                </c:pt>
                <c:pt idx="5">
                  <c:v>Women's Athletic Footwear</c:v>
                </c:pt>
              </c:strCache>
            </c:strRef>
          </c:cat>
          <c:val>
            <c:numRef>
              <c:f>'Summary Data'!$I$7:$I$12</c:f>
              <c:numCache>
                <c:formatCode>\$#,##0</c:formatCode>
                <c:ptCount val="6"/>
                <c:pt idx="0">
                  <c:v>333500</c:v>
                </c:pt>
                <c:pt idx="1">
                  <c:v>232800</c:v>
                </c:pt>
                <c:pt idx="2">
                  <c:v>321000</c:v>
                </c:pt>
                <c:pt idx="3">
                  <c:v>342200</c:v>
                </c:pt>
                <c:pt idx="4">
                  <c:v>295500</c:v>
                </c:pt>
                <c:pt idx="5">
                  <c:v>500500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8F-4E5A-BCD5-81F65F52B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1995185"/>
        <c:axId val="91414263"/>
      </c:barChart>
      <c:catAx>
        <c:axId val="4199518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Product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91414263"/>
        <c:crosses val="autoZero"/>
        <c:auto val="1"/>
        <c:lblAlgn val="ctr"/>
        <c:lblOffset val="100"/>
        <c:noMultiLvlLbl val="0"/>
      </c:catAx>
      <c:valAx>
        <c:axId val="9141426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99518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Growth Trajectory (by Year)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'Summary Data'!$R$6</c:f>
              <c:strCache>
                <c:ptCount val="1"/>
                <c:pt idx="0">
                  <c:v>Sale Value</c:v>
                </c:pt>
              </c:strCache>
            </c:strRef>
          </c:tx>
          <c:spPr>
            <a:ln w="24840">
              <a:solidFill>
                <a:srgbClr val="E9456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'Summary Data'!$Q$7:$Q$8</c:f>
              <c:numCache>
                <c:formatCode>General</c:formatCode>
                <c:ptCount val="2"/>
                <c:pt idx="0">
                  <c:v>2020</c:v>
                </c:pt>
                <c:pt idx="1">
                  <c:v>2021</c:v>
                </c:pt>
              </c:numCache>
            </c:numRef>
          </c:cat>
          <c:val>
            <c:numRef>
              <c:f>'Summary Data'!$R$7:$R$8</c:f>
              <c:numCache>
                <c:formatCode>\$#,##0</c:formatCode>
                <c:ptCount val="2"/>
                <c:pt idx="0">
                  <c:v>1042000</c:v>
                </c:pt>
                <c:pt idx="1">
                  <c:v>983500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142-4A6A-8310-0BD08F4170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35642159"/>
        <c:axId val="63557655"/>
      </c:lineChart>
      <c:catAx>
        <c:axId val="3564215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3557655"/>
        <c:crosses val="autoZero"/>
        <c:auto val="1"/>
        <c:lblAlgn val="ctr"/>
        <c:lblOffset val="100"/>
        <c:noMultiLvlLbl val="0"/>
      </c:catAx>
      <c:valAx>
        <c:axId val="635576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564215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Retailer Performance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Data'!$L$6</c:f>
              <c:strCache>
                <c:ptCount val="1"/>
                <c:pt idx="0">
                  <c:v>Sale Value</c:v>
                </c:pt>
              </c:strCache>
            </c:strRef>
          </c:tx>
          <c:spPr>
            <a:solidFill>
              <a:srgbClr val="3498DB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Data'!$K$7:$K$11</c:f>
              <c:strCache>
                <c:ptCount val="5"/>
                <c:pt idx="0">
                  <c:v>Foot Locker</c:v>
                </c:pt>
                <c:pt idx="1">
                  <c:v>Amazon</c:v>
                </c:pt>
                <c:pt idx="2">
                  <c:v>Walmart</c:v>
                </c:pt>
                <c:pt idx="3">
                  <c:v>Nike Direct</c:v>
                </c:pt>
                <c:pt idx="4">
                  <c:v>Sports Direct</c:v>
                </c:pt>
              </c:strCache>
            </c:strRef>
          </c:cat>
          <c:val>
            <c:numRef>
              <c:f>'Summary Data'!$L$7:$L$11</c:f>
              <c:numCache>
                <c:formatCode>\$#,##0</c:formatCode>
                <c:ptCount val="5"/>
                <c:pt idx="0">
                  <c:v>319200</c:v>
                </c:pt>
                <c:pt idx="1">
                  <c:v>625500</c:v>
                </c:pt>
                <c:pt idx="2">
                  <c:v>544000</c:v>
                </c:pt>
                <c:pt idx="3">
                  <c:v>382000</c:v>
                </c:pt>
                <c:pt idx="4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51-43DE-BFF2-C9B0FA0EE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433937"/>
        <c:axId val="33260180"/>
      </c:barChart>
      <c:catAx>
        <c:axId val="70433937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Sale 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3260180"/>
        <c:crosses val="autoZero"/>
        <c:auto val="1"/>
        <c:lblAlgn val="ctr"/>
        <c:lblOffset val="100"/>
        <c:noMultiLvlLbl val="0"/>
      </c:catAx>
      <c:valAx>
        <c:axId val="3326018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IN" sz="1000" b="1" strike="noStrike" spc="-1">
                    <a:solidFill>
                      <a:srgbClr val="000000"/>
                    </a:solidFill>
                    <a:latin typeface="Calibri"/>
                  </a:rPr>
                  <a:t>Retailer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0433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IN" sz="1800" b="1" strike="noStrike" spc="-1">
                <a:solidFill>
                  <a:srgbClr val="000000"/>
                </a:solidFill>
                <a:latin typeface="Calibri"/>
              </a:rPr>
              <a:t>Revenue by Sales Method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'Summary Data'!$O$6</c:f>
              <c:strCache>
                <c:ptCount val="1"/>
                <c:pt idx="0">
                  <c:v>Sale Value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dPt>
            <c:idx val="0"/>
            <c:bubble3D val="0"/>
            <c:spPr>
              <a:solidFill>
                <a:srgbClr val="E94560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E4B3-44F4-AAB1-FA891B90DD7B}"/>
              </c:ext>
            </c:extLst>
          </c:dPt>
          <c:dPt>
            <c:idx val="1"/>
            <c:bubble3D val="0"/>
            <c:spPr>
              <a:solidFill>
                <a:srgbClr val="2ECC71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E4B3-44F4-AAB1-FA891B90DD7B}"/>
              </c:ext>
            </c:extLst>
          </c:dPt>
          <c:dPt>
            <c:idx val="2"/>
            <c:bubble3D val="0"/>
            <c:spPr>
              <a:solidFill>
                <a:srgbClr val="F5A623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E4B3-44F4-AAB1-FA891B90DD7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4B3-44F4-AAB1-FA891B90DD7B}"/>
                </c:ext>
              </c:extLst>
            </c:dLbl>
            <c:dLbl>
              <c:idx val="1"/>
              <c:layout>
                <c:manualLayout>
                  <c:x val="-3.2850043959022752E-2"/>
                  <c:y val="9.708006443734389E-4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4B3-44F4-AAB1-FA891B90DD7B}"/>
                </c:ext>
              </c:extLst>
            </c:dLbl>
            <c:dLbl>
              <c:idx val="2"/>
              <c:layout>
                <c:manualLayout>
                  <c:x val="-0.19509566035088055"/>
                  <c:y val="0.12858326713212767"/>
                </c:manualLayout>
              </c:layout>
              <c:spPr/>
              <c: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endParaRPr lang="en-US"/>
                </a:p>
              </c:txPr>
              <c:dLblPos val="bestFit"/>
              <c:showLegendKey val="1"/>
              <c:showVal val="1"/>
              <c:showCatName val="1"/>
              <c:showSerName val="1"/>
              <c:showPercent val="1"/>
              <c:showBubbleSize val="1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4B3-44F4-AAB1-FA891B90DD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bestFit"/>
            <c:showLegendKey val="1"/>
            <c:showVal val="1"/>
            <c:showCatName val="1"/>
            <c:showSerName val="1"/>
            <c:showPercent val="1"/>
            <c:showBubbleSize val="1"/>
            <c:separator>;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'Summary Data'!$N$7:$N$9</c:f>
              <c:strCache>
                <c:ptCount val="3"/>
                <c:pt idx="0">
                  <c:v>In-store</c:v>
                </c:pt>
                <c:pt idx="1">
                  <c:v>Online</c:v>
                </c:pt>
                <c:pt idx="2">
                  <c:v>Outlet</c:v>
                </c:pt>
              </c:strCache>
            </c:strRef>
          </c:cat>
          <c:val>
            <c:numRef>
              <c:f>'Summary Data'!$O$7:$O$9</c:f>
              <c:numCache>
                <c:formatCode>\$#,##0</c:formatCode>
                <c:ptCount val="3"/>
                <c:pt idx="0">
                  <c:v>863200</c:v>
                </c:pt>
                <c:pt idx="1">
                  <c:v>1007500</c:v>
                </c:pt>
                <c:pt idx="2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4B3-44F4-AAB1-FA891B90D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/>
              </a:rPr>
              <a:t>Sale Value by Region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'Summary Data'!$E$6</c:f>
              <c:strCache>
                <c:ptCount val="1"/>
                <c:pt idx="0">
                  <c:v>Sale Value</c:v>
                </c:pt>
              </c:strCache>
            </c:strRef>
          </c:tx>
          <c:spPr>
            <a:solidFill>
              <a:srgbClr val="E94560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Data'!$D$7:$D$11</c:f>
              <c:strCache>
                <c:ptCount val="5"/>
                <c:pt idx="0">
                  <c:v>Northeast</c:v>
                </c:pt>
                <c:pt idx="1">
                  <c:v>West</c:v>
                </c:pt>
                <c:pt idx="2">
                  <c:v>South</c:v>
                </c:pt>
                <c:pt idx="3">
                  <c:v>Midwest</c:v>
                </c:pt>
                <c:pt idx="4">
                  <c:v>Southeast</c:v>
                </c:pt>
              </c:strCache>
            </c:strRef>
          </c:cat>
          <c:val>
            <c:numRef>
              <c:f>'Summary Data'!$E$7:$E$11</c:f>
              <c:numCache>
                <c:formatCode>\$#,##0</c:formatCode>
                <c:ptCount val="5"/>
                <c:pt idx="0">
                  <c:v>365000</c:v>
                </c:pt>
                <c:pt idx="1">
                  <c:v>703500</c:v>
                </c:pt>
                <c:pt idx="2">
                  <c:v>544000</c:v>
                </c:pt>
                <c:pt idx="3">
                  <c:v>258200</c:v>
                </c:pt>
                <c:pt idx="4">
                  <c:v>154800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0C-4C7B-A0A5-39A444D56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577798"/>
        <c:axId val="28948679"/>
      </c:barChart>
      <c:catAx>
        <c:axId val="58577798"/>
        <c:scaling>
          <c:orientation val="minMax"/>
        </c:scaling>
        <c:delete val="0"/>
        <c:axPos val="l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8948679"/>
        <c:crosses val="autoZero"/>
        <c:auto val="1"/>
        <c:lblAlgn val="ctr"/>
        <c:lblOffset val="100"/>
        <c:noMultiLvlLbl val="0"/>
      </c:catAx>
      <c:valAx>
        <c:axId val="2894867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585777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12290</xdr:colOff>
      <xdr:row>8</xdr:row>
      <xdr:rowOff>159775</xdr:rowOff>
    </xdr:from>
    <xdr:to>
      <xdr:col>6</xdr:col>
      <xdr:colOff>196272</xdr:colOff>
      <xdr:row>21</xdr:row>
      <xdr:rowOff>24581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196644</xdr:colOff>
      <xdr:row>8</xdr:row>
      <xdr:rowOff>159775</xdr:rowOff>
    </xdr:from>
    <xdr:to>
      <xdr:col>23</xdr:col>
      <xdr:colOff>57727</xdr:colOff>
      <xdr:row>21</xdr:row>
      <xdr:rowOff>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138544</xdr:colOff>
      <xdr:row>22</xdr:row>
      <xdr:rowOff>23090</xdr:rowOff>
    </xdr:from>
    <xdr:to>
      <xdr:col>8</xdr:col>
      <xdr:colOff>124342</xdr:colOff>
      <xdr:row>34</xdr:row>
      <xdr:rowOff>192561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399621</xdr:colOff>
      <xdr:row>22</xdr:row>
      <xdr:rowOff>13034</xdr:rowOff>
    </xdr:from>
    <xdr:to>
      <xdr:col>23</xdr:col>
      <xdr:colOff>127000</xdr:colOff>
      <xdr:row>34</xdr:row>
      <xdr:rowOff>184727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10</xdr:col>
      <xdr:colOff>238730</xdr:colOff>
      <xdr:row>0</xdr:row>
      <xdr:rowOff>34636</xdr:rowOff>
    </xdr:from>
    <xdr:to>
      <xdr:col>22</xdr:col>
      <xdr:colOff>251021</xdr:colOff>
      <xdr:row>7</xdr:row>
      <xdr:rowOff>253999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31</xdr:row>
      <xdr:rowOff>0</xdr:rowOff>
    </xdr:from>
    <xdr:to>
      <xdr:col>19</xdr:col>
      <xdr:colOff>276480</xdr:colOff>
      <xdr:row>53</xdr:row>
      <xdr:rowOff>10080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94560"/>
  </sheetPr>
  <dimension ref="A1:H25"/>
  <sheetViews>
    <sheetView showRowColHeaders="0"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8" customWidth="1"/>
    <col min="2" max="2" width="26" customWidth="1"/>
    <col min="3" max="3" width="14" customWidth="1"/>
    <col min="4" max="4" width="18" customWidth="1"/>
    <col min="5" max="5" width="14" customWidth="1"/>
    <col min="6" max="6" width="12" customWidth="1"/>
    <col min="7" max="7" width="14" customWidth="1"/>
    <col min="8" max="8" width="16" customWidth="1"/>
  </cols>
  <sheetData>
    <row r="1" spans="1:8" ht="30" customHeight="1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ht="15" customHeight="1" x14ac:dyDescent="0.3">
      <c r="A2" s="10" t="s">
        <v>8</v>
      </c>
      <c r="B2" s="10" t="s">
        <v>9</v>
      </c>
      <c r="C2" s="10" t="s">
        <v>10</v>
      </c>
      <c r="D2" s="10" t="s">
        <v>11</v>
      </c>
      <c r="E2" s="10" t="s">
        <v>12</v>
      </c>
      <c r="F2" s="11">
        <v>1200</v>
      </c>
      <c r="G2" s="12">
        <v>85000</v>
      </c>
      <c r="H2" s="10" t="s">
        <v>13</v>
      </c>
    </row>
    <row r="3" spans="1:8" ht="15" customHeight="1" x14ac:dyDescent="0.3">
      <c r="A3" s="13" t="s">
        <v>8</v>
      </c>
      <c r="B3" s="13" t="s">
        <v>14</v>
      </c>
      <c r="C3" s="13" t="s">
        <v>10</v>
      </c>
      <c r="D3" s="13" t="s">
        <v>11</v>
      </c>
      <c r="E3" s="13" t="s">
        <v>12</v>
      </c>
      <c r="F3" s="14">
        <v>800</v>
      </c>
      <c r="G3" s="15">
        <v>48000</v>
      </c>
      <c r="H3" s="13" t="s">
        <v>15</v>
      </c>
    </row>
    <row r="4" spans="1:8" ht="15" customHeight="1" x14ac:dyDescent="0.3">
      <c r="A4" s="10" t="s">
        <v>16</v>
      </c>
      <c r="B4" s="10" t="s">
        <v>17</v>
      </c>
      <c r="C4" s="10" t="s">
        <v>18</v>
      </c>
      <c r="D4" s="10" t="s">
        <v>19</v>
      </c>
      <c r="E4" s="10" t="s">
        <v>20</v>
      </c>
      <c r="F4" s="11">
        <v>2500</v>
      </c>
      <c r="G4" s="12">
        <v>175000</v>
      </c>
      <c r="H4" s="10" t="s">
        <v>21</v>
      </c>
    </row>
    <row r="5" spans="1:8" ht="15" customHeight="1" x14ac:dyDescent="0.3">
      <c r="A5" s="13" t="s">
        <v>16</v>
      </c>
      <c r="B5" s="13" t="s">
        <v>22</v>
      </c>
      <c r="C5" s="13" t="s">
        <v>18</v>
      </c>
      <c r="D5" s="13" t="s">
        <v>19</v>
      </c>
      <c r="E5" s="13" t="s">
        <v>20</v>
      </c>
      <c r="F5" s="14">
        <v>1800</v>
      </c>
      <c r="G5" s="15">
        <v>126000</v>
      </c>
      <c r="H5" s="13" t="s">
        <v>23</v>
      </c>
    </row>
    <row r="6" spans="1:8" ht="15" customHeight="1" x14ac:dyDescent="0.3">
      <c r="A6" s="10" t="s">
        <v>24</v>
      </c>
      <c r="B6" s="10" t="s">
        <v>25</v>
      </c>
      <c r="C6" s="10" t="s">
        <v>26</v>
      </c>
      <c r="D6" s="10" t="s">
        <v>27</v>
      </c>
      <c r="E6" s="10" t="s">
        <v>12</v>
      </c>
      <c r="F6" s="11">
        <v>3200</v>
      </c>
      <c r="G6" s="12">
        <v>96000</v>
      </c>
      <c r="H6" s="10" t="s">
        <v>28</v>
      </c>
    </row>
    <row r="7" spans="1:8" ht="15" customHeight="1" x14ac:dyDescent="0.3">
      <c r="A7" s="13" t="s">
        <v>24</v>
      </c>
      <c r="B7" s="13" t="s">
        <v>29</v>
      </c>
      <c r="C7" s="13" t="s">
        <v>26</v>
      </c>
      <c r="D7" s="13" t="s">
        <v>27</v>
      </c>
      <c r="E7" s="13" t="s">
        <v>12</v>
      </c>
      <c r="F7" s="14">
        <v>1400</v>
      </c>
      <c r="G7" s="15">
        <v>98000</v>
      </c>
      <c r="H7" s="13" t="s">
        <v>30</v>
      </c>
    </row>
    <row r="8" spans="1:8" ht="15" customHeight="1" x14ac:dyDescent="0.3">
      <c r="A8" s="10" t="s">
        <v>31</v>
      </c>
      <c r="B8" s="10" t="s">
        <v>9</v>
      </c>
      <c r="C8" s="10" t="s">
        <v>32</v>
      </c>
      <c r="D8" s="10" t="s">
        <v>33</v>
      </c>
      <c r="E8" s="10" t="s">
        <v>20</v>
      </c>
      <c r="F8" s="11">
        <v>900</v>
      </c>
      <c r="G8" s="12">
        <v>63000</v>
      </c>
      <c r="H8" s="10" t="s">
        <v>34</v>
      </c>
    </row>
    <row r="9" spans="1:8" ht="15" customHeight="1" x14ac:dyDescent="0.3">
      <c r="A9" s="13" t="s">
        <v>31</v>
      </c>
      <c r="B9" s="13" t="s">
        <v>14</v>
      </c>
      <c r="C9" s="13" t="s">
        <v>32</v>
      </c>
      <c r="D9" s="13" t="s">
        <v>33</v>
      </c>
      <c r="E9" s="13" t="s">
        <v>20</v>
      </c>
      <c r="F9" s="14">
        <v>1100</v>
      </c>
      <c r="G9" s="15">
        <v>66000</v>
      </c>
      <c r="H9" s="13" t="s">
        <v>35</v>
      </c>
    </row>
    <row r="10" spans="1:8" ht="15" customHeight="1" x14ac:dyDescent="0.3">
      <c r="A10" s="10" t="s">
        <v>36</v>
      </c>
      <c r="B10" s="10" t="s">
        <v>17</v>
      </c>
      <c r="C10" s="10" t="s">
        <v>37</v>
      </c>
      <c r="D10" s="10" t="s">
        <v>38</v>
      </c>
      <c r="E10" s="10" t="s">
        <v>39</v>
      </c>
      <c r="F10" s="11">
        <v>600</v>
      </c>
      <c r="G10" s="12">
        <v>36000</v>
      </c>
      <c r="H10" s="10" t="s">
        <v>40</v>
      </c>
    </row>
    <row r="11" spans="1:8" ht="15" customHeight="1" x14ac:dyDescent="0.3">
      <c r="A11" s="13" t="s">
        <v>36</v>
      </c>
      <c r="B11" s="13" t="s">
        <v>22</v>
      </c>
      <c r="C11" s="13" t="s">
        <v>37</v>
      </c>
      <c r="D11" s="13" t="s">
        <v>38</v>
      </c>
      <c r="E11" s="13" t="s">
        <v>39</v>
      </c>
      <c r="F11" s="14">
        <v>750</v>
      </c>
      <c r="G11" s="15">
        <v>45000</v>
      </c>
      <c r="H11" s="13" t="s">
        <v>41</v>
      </c>
    </row>
    <row r="12" spans="1:8" ht="15" customHeight="1" x14ac:dyDescent="0.3">
      <c r="A12" s="10" t="s">
        <v>8</v>
      </c>
      <c r="B12" s="10" t="s">
        <v>25</v>
      </c>
      <c r="C12" s="10" t="s">
        <v>10</v>
      </c>
      <c r="D12" s="10" t="s">
        <v>42</v>
      </c>
      <c r="E12" s="10" t="s">
        <v>12</v>
      </c>
      <c r="F12" s="11">
        <v>950</v>
      </c>
      <c r="G12" s="12">
        <v>57000</v>
      </c>
      <c r="H12" s="10" t="s">
        <v>43</v>
      </c>
    </row>
    <row r="13" spans="1:8" ht="15" customHeight="1" x14ac:dyDescent="0.3">
      <c r="A13" s="13" t="s">
        <v>16</v>
      </c>
      <c r="B13" s="13" t="s">
        <v>29</v>
      </c>
      <c r="C13" s="13" t="s">
        <v>18</v>
      </c>
      <c r="D13" s="13" t="s">
        <v>44</v>
      </c>
      <c r="E13" s="13" t="s">
        <v>20</v>
      </c>
      <c r="F13" s="14">
        <v>2100</v>
      </c>
      <c r="G13" s="15">
        <v>147000</v>
      </c>
      <c r="H13" s="13" t="s">
        <v>45</v>
      </c>
    </row>
    <row r="14" spans="1:8" ht="15" customHeight="1" x14ac:dyDescent="0.3">
      <c r="A14" s="10" t="s">
        <v>24</v>
      </c>
      <c r="B14" s="10" t="s">
        <v>9</v>
      </c>
      <c r="C14" s="10" t="s">
        <v>26</v>
      </c>
      <c r="D14" s="10" t="s">
        <v>46</v>
      </c>
      <c r="E14" s="10" t="s">
        <v>12</v>
      </c>
      <c r="F14" s="11">
        <v>1600</v>
      </c>
      <c r="G14" s="12">
        <v>112000</v>
      </c>
      <c r="H14" s="10" t="s">
        <v>47</v>
      </c>
    </row>
    <row r="15" spans="1:8" ht="15" customHeight="1" x14ac:dyDescent="0.3">
      <c r="A15" s="13" t="s">
        <v>31</v>
      </c>
      <c r="B15" s="13" t="s">
        <v>14</v>
      </c>
      <c r="C15" s="13" t="s">
        <v>18</v>
      </c>
      <c r="D15" s="13" t="s">
        <v>48</v>
      </c>
      <c r="E15" s="13" t="s">
        <v>20</v>
      </c>
      <c r="F15" s="14">
        <v>1300</v>
      </c>
      <c r="G15" s="15">
        <v>78000</v>
      </c>
      <c r="H15" s="13" t="s">
        <v>49</v>
      </c>
    </row>
    <row r="16" spans="1:8" ht="15" customHeight="1" x14ac:dyDescent="0.3">
      <c r="A16" s="10" t="s">
        <v>36</v>
      </c>
      <c r="B16" s="10" t="s">
        <v>17</v>
      </c>
      <c r="C16" s="10" t="s">
        <v>37</v>
      </c>
      <c r="D16" s="10" t="s">
        <v>50</v>
      </c>
      <c r="E16" s="10" t="s">
        <v>39</v>
      </c>
      <c r="F16" s="11">
        <v>550</v>
      </c>
      <c r="G16" s="12">
        <v>33000</v>
      </c>
      <c r="H16" s="10" t="s">
        <v>51</v>
      </c>
    </row>
    <row r="17" spans="1:8" ht="15" customHeight="1" x14ac:dyDescent="0.3">
      <c r="A17" s="13" t="s">
        <v>8</v>
      </c>
      <c r="B17" s="13" t="s">
        <v>22</v>
      </c>
      <c r="C17" s="13" t="s">
        <v>32</v>
      </c>
      <c r="D17" s="13" t="s">
        <v>52</v>
      </c>
      <c r="E17" s="13" t="s">
        <v>12</v>
      </c>
      <c r="F17" s="14">
        <v>870</v>
      </c>
      <c r="G17" s="15">
        <v>52200</v>
      </c>
      <c r="H17" s="13" t="s">
        <v>53</v>
      </c>
    </row>
    <row r="18" spans="1:8" ht="15" customHeight="1" x14ac:dyDescent="0.3">
      <c r="A18" s="10" t="s">
        <v>16</v>
      </c>
      <c r="B18" s="10" t="s">
        <v>25</v>
      </c>
      <c r="C18" s="10" t="s">
        <v>18</v>
      </c>
      <c r="D18" s="10" t="s">
        <v>54</v>
      </c>
      <c r="E18" s="10" t="s">
        <v>20</v>
      </c>
      <c r="F18" s="11">
        <v>1950</v>
      </c>
      <c r="G18" s="12">
        <v>58500</v>
      </c>
      <c r="H18" s="10" t="s">
        <v>55</v>
      </c>
    </row>
    <row r="19" spans="1:8" ht="15" customHeight="1" x14ac:dyDescent="0.3">
      <c r="A19" s="13" t="s">
        <v>24</v>
      </c>
      <c r="B19" s="13" t="s">
        <v>29</v>
      </c>
      <c r="C19" s="13" t="s">
        <v>26</v>
      </c>
      <c r="D19" s="13" t="s">
        <v>56</v>
      </c>
      <c r="E19" s="13" t="s">
        <v>12</v>
      </c>
      <c r="F19" s="14">
        <v>2200</v>
      </c>
      <c r="G19" s="15">
        <v>154000</v>
      </c>
      <c r="H19" s="13" t="s">
        <v>57</v>
      </c>
    </row>
    <row r="20" spans="1:8" ht="15" customHeight="1" x14ac:dyDescent="0.3">
      <c r="A20" s="10" t="s">
        <v>31</v>
      </c>
      <c r="B20" s="10" t="s">
        <v>9</v>
      </c>
      <c r="C20" s="10" t="s">
        <v>10</v>
      </c>
      <c r="D20" s="10" t="s">
        <v>58</v>
      </c>
      <c r="E20" s="10" t="s">
        <v>20</v>
      </c>
      <c r="F20" s="11">
        <v>1050</v>
      </c>
      <c r="G20" s="12">
        <v>73500</v>
      </c>
      <c r="H20" s="10" t="s">
        <v>59</v>
      </c>
    </row>
    <row r="21" spans="1:8" ht="15" customHeight="1" x14ac:dyDescent="0.3">
      <c r="A21" s="13" t="s">
        <v>36</v>
      </c>
      <c r="B21" s="13" t="s">
        <v>14</v>
      </c>
      <c r="C21" s="13" t="s">
        <v>37</v>
      </c>
      <c r="D21" s="13" t="s">
        <v>60</v>
      </c>
      <c r="E21" s="13" t="s">
        <v>39</v>
      </c>
      <c r="F21" s="14">
        <v>680</v>
      </c>
      <c r="G21" s="15">
        <v>40800</v>
      </c>
      <c r="H21" s="13" t="s">
        <v>61</v>
      </c>
    </row>
    <row r="22" spans="1:8" ht="15" customHeight="1" x14ac:dyDescent="0.3">
      <c r="A22" s="10" t="s">
        <v>8</v>
      </c>
      <c r="B22" s="10" t="s">
        <v>17</v>
      </c>
      <c r="C22" s="10" t="s">
        <v>32</v>
      </c>
      <c r="D22" s="10" t="s">
        <v>62</v>
      </c>
      <c r="E22" s="10" t="s">
        <v>12</v>
      </c>
      <c r="F22" s="11">
        <v>1100</v>
      </c>
      <c r="G22" s="12">
        <v>77000</v>
      </c>
      <c r="H22" s="10" t="s">
        <v>63</v>
      </c>
    </row>
    <row r="23" spans="1:8" ht="15" customHeight="1" x14ac:dyDescent="0.3">
      <c r="A23" s="13" t="s">
        <v>16</v>
      </c>
      <c r="B23" s="13" t="s">
        <v>22</v>
      </c>
      <c r="C23" s="13" t="s">
        <v>18</v>
      </c>
      <c r="D23" s="13" t="s">
        <v>64</v>
      </c>
      <c r="E23" s="13" t="s">
        <v>20</v>
      </c>
      <c r="F23" s="14">
        <v>1700</v>
      </c>
      <c r="G23" s="15">
        <v>119000</v>
      </c>
      <c r="H23" s="13" t="s">
        <v>65</v>
      </c>
    </row>
    <row r="24" spans="1:8" ht="15" customHeight="1" x14ac:dyDescent="0.3">
      <c r="A24" s="10" t="s">
        <v>24</v>
      </c>
      <c r="B24" s="10" t="s">
        <v>25</v>
      </c>
      <c r="C24" s="10" t="s">
        <v>26</v>
      </c>
      <c r="D24" s="10" t="s">
        <v>66</v>
      </c>
      <c r="E24" s="10" t="s">
        <v>12</v>
      </c>
      <c r="F24" s="11">
        <v>2800</v>
      </c>
      <c r="G24" s="12">
        <v>84000</v>
      </c>
      <c r="H24" s="10" t="s">
        <v>67</v>
      </c>
    </row>
    <row r="25" spans="1:8" ht="15" customHeight="1" x14ac:dyDescent="0.3">
      <c r="A25" s="13" t="s">
        <v>31</v>
      </c>
      <c r="B25" s="13" t="s">
        <v>29</v>
      </c>
      <c r="C25" s="13" t="s">
        <v>10</v>
      </c>
      <c r="D25" s="13" t="s">
        <v>68</v>
      </c>
      <c r="E25" s="13" t="s">
        <v>20</v>
      </c>
      <c r="F25" s="14">
        <v>1450</v>
      </c>
      <c r="G25" s="15">
        <v>101500</v>
      </c>
      <c r="H25" s="13" t="s">
        <v>69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F3460"/>
  </sheetPr>
  <dimension ref="A1:AD100"/>
  <sheetViews>
    <sheetView showGridLines="0" showRowColHeaders="0" zoomScaleNormal="100" workbookViewId="0"/>
  </sheetViews>
  <sheetFormatPr defaultColWidth="8.6640625" defaultRowHeight="14.4" x14ac:dyDescent="0.3"/>
  <cols>
    <col min="1" max="1" width="28" customWidth="1"/>
    <col min="2" max="2" width="18" customWidth="1"/>
    <col min="4" max="5" width="16" customWidth="1"/>
    <col min="6" max="6" width="14" customWidth="1"/>
    <col min="8" max="8" width="28" customWidth="1"/>
    <col min="9" max="9" width="16" customWidth="1"/>
    <col min="11" max="11" width="18" customWidth="1"/>
    <col min="12" max="12" width="16" customWidth="1"/>
    <col min="14" max="15" width="14" customWidth="1"/>
    <col min="17" max="17" width="10" customWidth="1"/>
    <col min="18" max="18" width="14" customWidth="1"/>
  </cols>
  <sheetData>
    <row r="1" spans="1:30" ht="24.75" customHeight="1" x14ac:dyDescent="0.3">
      <c r="A1" s="16" t="s">
        <v>70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</row>
    <row r="2" spans="1:30" ht="1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</row>
    <row r="3" spans="1:30" ht="15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</row>
    <row r="4" spans="1:30" ht="15" customHeigh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</row>
    <row r="5" spans="1:30" ht="15" customHeight="1" x14ac:dyDescent="0.3">
      <c r="A5" s="17"/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</row>
    <row r="6" spans="1:30" ht="15" customHeight="1" x14ac:dyDescent="0.3">
      <c r="A6" s="18" t="s">
        <v>71</v>
      </c>
      <c r="B6" s="18" t="s">
        <v>72</v>
      </c>
      <c r="C6" s="17"/>
      <c r="D6" s="18" t="s">
        <v>2</v>
      </c>
      <c r="E6" s="18" t="s">
        <v>6</v>
      </c>
      <c r="F6" s="18" t="s">
        <v>5</v>
      </c>
      <c r="G6" s="17"/>
      <c r="H6" s="18" t="s">
        <v>1</v>
      </c>
      <c r="I6" s="18" t="s">
        <v>6</v>
      </c>
      <c r="J6" s="17"/>
      <c r="K6" s="18" t="s">
        <v>0</v>
      </c>
      <c r="L6" s="18" t="s">
        <v>6</v>
      </c>
      <c r="M6" s="17"/>
      <c r="N6" s="18" t="s">
        <v>4</v>
      </c>
      <c r="O6" s="18" t="s">
        <v>6</v>
      </c>
      <c r="P6" s="17"/>
      <c r="Q6" s="18" t="s">
        <v>73</v>
      </c>
      <c r="R6" s="18" t="s">
        <v>6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</row>
    <row r="7" spans="1:30" ht="15" customHeight="1" x14ac:dyDescent="0.3">
      <c r="A7" s="19" t="s">
        <v>74</v>
      </c>
      <c r="B7" s="20">
        <f>SUM('Nike Dataset'!G2:G25)</f>
        <v>2025500</v>
      </c>
      <c r="C7" s="17"/>
      <c r="D7" s="19" t="s">
        <v>10</v>
      </c>
      <c r="E7" s="21">
        <f>SUMIF('Nike Dataset'!C$2:C$25,D7,'Nike Dataset'!G$2:G$25)</f>
        <v>365000</v>
      </c>
      <c r="F7" s="22">
        <f>SUMIF('Nike Dataset'!C$2:C$25,D7,'Nike Dataset'!F$2:F$25)</f>
        <v>5450</v>
      </c>
      <c r="G7" s="17"/>
      <c r="H7" s="19" t="s">
        <v>9</v>
      </c>
      <c r="I7" s="21">
        <f>SUMIF('Nike Dataset'!B$2:B$25,H7,'Nike Dataset'!G$2:G$25)</f>
        <v>333500</v>
      </c>
      <c r="J7" s="17"/>
      <c r="K7" s="19" t="s">
        <v>8</v>
      </c>
      <c r="L7" s="21">
        <f>SUMIF('Nike Dataset'!A$2:A$25,K7,'Nike Dataset'!G$2:G$25)</f>
        <v>319200</v>
      </c>
      <c r="M7" s="17"/>
      <c r="N7" s="19" t="s">
        <v>12</v>
      </c>
      <c r="O7" s="21">
        <f>SUMIF('Nike Dataset'!E$2:E$25,N7,'Nike Dataset'!G$2:G$25)</f>
        <v>863200</v>
      </c>
      <c r="P7" s="17"/>
      <c r="Q7" s="19">
        <v>2020</v>
      </c>
      <c r="R7" s="21">
        <f>SUMPRODUCT((YEAR(DATEVALUE('Nike Dataset'!H$2:H$25))=Q7)*'Nike Dataset'!G$2:G$25)</f>
        <v>1042000</v>
      </c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</row>
    <row r="8" spans="1:30" ht="15" customHeight="1" x14ac:dyDescent="0.3">
      <c r="A8" s="19" t="s">
        <v>75</v>
      </c>
      <c r="B8" s="23">
        <f>SUM('Nike Dataset'!F2:F25)</f>
        <v>34550</v>
      </c>
      <c r="C8" s="17"/>
      <c r="D8" s="19" t="s">
        <v>18</v>
      </c>
      <c r="E8" s="21">
        <f>SUMIF('Nike Dataset'!C$2:C$25,D8,'Nike Dataset'!G$2:G$25)</f>
        <v>703500</v>
      </c>
      <c r="F8" s="22">
        <f>SUMIF('Nike Dataset'!C$2:C$25,D8,'Nike Dataset'!F$2:F$25)</f>
        <v>11350</v>
      </c>
      <c r="G8" s="17"/>
      <c r="H8" s="19" t="s">
        <v>14</v>
      </c>
      <c r="I8" s="21">
        <f>SUMIF('Nike Dataset'!B$2:B$25,H8,'Nike Dataset'!G$2:G$25)</f>
        <v>232800</v>
      </c>
      <c r="J8" s="17"/>
      <c r="K8" s="19" t="s">
        <v>16</v>
      </c>
      <c r="L8" s="21">
        <f>SUMIF('Nike Dataset'!A$2:A$25,K8,'Nike Dataset'!G$2:G$25)</f>
        <v>625500</v>
      </c>
      <c r="M8" s="17"/>
      <c r="N8" s="19" t="s">
        <v>20</v>
      </c>
      <c r="O8" s="21">
        <f>SUMIF('Nike Dataset'!E$2:E$25,N8,'Nike Dataset'!G$2:G$25)</f>
        <v>1007500</v>
      </c>
      <c r="P8" s="17"/>
      <c r="Q8" s="19">
        <v>2021</v>
      </c>
      <c r="R8" s="21">
        <f>SUMPRODUCT((YEAR(DATEVALUE('Nike Dataset'!H$2:H$25))=Q8)*'Nike Dataset'!G$2:G$25)</f>
        <v>983500</v>
      </c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</row>
    <row r="9" spans="1:30" ht="15" customHeight="1" x14ac:dyDescent="0.3">
      <c r="A9" s="19" t="s">
        <v>76</v>
      </c>
      <c r="B9" s="24">
        <f>COUNTA('Nike Dataset'!A2:A25)</f>
        <v>24</v>
      </c>
      <c r="C9" s="17"/>
      <c r="D9" s="19" t="s">
        <v>26</v>
      </c>
      <c r="E9" s="21">
        <f>SUMIF('Nike Dataset'!C$2:C$25,D9,'Nike Dataset'!G$2:G$25)</f>
        <v>544000</v>
      </c>
      <c r="F9" s="22">
        <f>SUMIF('Nike Dataset'!C$2:C$25,D9,'Nike Dataset'!F$2:F$25)</f>
        <v>11200</v>
      </c>
      <c r="G9" s="17"/>
      <c r="H9" s="19" t="s">
        <v>17</v>
      </c>
      <c r="I9" s="21">
        <f>SUMIF('Nike Dataset'!B$2:B$25,H9,'Nike Dataset'!G$2:G$25)</f>
        <v>321000</v>
      </c>
      <c r="J9" s="17"/>
      <c r="K9" s="19" t="s">
        <v>24</v>
      </c>
      <c r="L9" s="21">
        <f>SUMIF('Nike Dataset'!A$2:A$25,K9,'Nike Dataset'!G$2:G$25)</f>
        <v>544000</v>
      </c>
      <c r="M9" s="17"/>
      <c r="N9" s="19" t="s">
        <v>39</v>
      </c>
      <c r="O9" s="21">
        <f>SUMIF('Nike Dataset'!E$2:E$25,N9,'Nike Dataset'!G$2:G$25)</f>
        <v>154800</v>
      </c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</row>
    <row r="10" spans="1:30" ht="15" customHeight="1" x14ac:dyDescent="0.3">
      <c r="A10" s="19" t="s">
        <v>77</v>
      </c>
      <c r="B10" s="20">
        <f>B7/B9</f>
        <v>84395.833333333328</v>
      </c>
      <c r="C10" s="17"/>
      <c r="D10" s="19" t="s">
        <v>32</v>
      </c>
      <c r="E10" s="21">
        <f>SUMIF('Nike Dataset'!C$2:C$25,D10,'Nike Dataset'!G$2:G$25)</f>
        <v>258200</v>
      </c>
      <c r="F10" s="22">
        <f>SUMIF('Nike Dataset'!C$2:C$25,D10,'Nike Dataset'!F$2:F$25)</f>
        <v>3970</v>
      </c>
      <c r="G10" s="17"/>
      <c r="H10" s="19" t="s">
        <v>22</v>
      </c>
      <c r="I10" s="21">
        <f>SUMIF('Nike Dataset'!B$2:B$25,H10,'Nike Dataset'!G$2:G$25)</f>
        <v>342200</v>
      </c>
      <c r="J10" s="17"/>
      <c r="K10" s="19" t="s">
        <v>31</v>
      </c>
      <c r="L10" s="21">
        <f>SUMIF('Nike Dataset'!A$2:A$25,K10,'Nike Dataset'!G$2:G$25)</f>
        <v>382000</v>
      </c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</row>
    <row r="11" spans="1:30" ht="15" customHeight="1" x14ac:dyDescent="0.3">
      <c r="A11" s="19" t="s">
        <v>78</v>
      </c>
      <c r="B11" s="20">
        <f>B8/B9</f>
        <v>1439.5833333333333</v>
      </c>
      <c r="C11" s="17"/>
      <c r="D11" s="19" t="s">
        <v>37</v>
      </c>
      <c r="E11" s="21">
        <f>SUMIF('Nike Dataset'!C$2:C$25,D11,'Nike Dataset'!G$2:G$25)</f>
        <v>154800</v>
      </c>
      <c r="F11" s="22">
        <f>SUMIF('Nike Dataset'!C$2:C$25,D11,'Nike Dataset'!F$2:F$25)</f>
        <v>2580</v>
      </c>
      <c r="G11" s="17"/>
      <c r="H11" s="19" t="s">
        <v>25</v>
      </c>
      <c r="I11" s="21">
        <f>SUMIF('Nike Dataset'!B$2:B$25,H11,'Nike Dataset'!G$2:G$25)</f>
        <v>295500</v>
      </c>
      <c r="J11" s="17"/>
      <c r="K11" s="19" t="s">
        <v>36</v>
      </c>
      <c r="L11" s="21">
        <f>SUMIF('Nike Dataset'!A$2:A$25,K11,'Nike Dataset'!G$2:G$25)</f>
        <v>154800</v>
      </c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</row>
    <row r="12" spans="1:30" ht="15" customHeight="1" x14ac:dyDescent="0.3">
      <c r="A12" s="17"/>
      <c r="B12" s="17"/>
      <c r="C12" s="17"/>
      <c r="D12" s="17"/>
      <c r="E12" s="17"/>
      <c r="F12" s="17"/>
      <c r="G12" s="17"/>
      <c r="H12" s="19" t="s">
        <v>29</v>
      </c>
      <c r="I12" s="21">
        <f>SUMIF('Nike Dataset'!B$2:B$25,H12,'Nike Dataset'!G$2:G$25)</f>
        <v>500500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</row>
    <row r="13" spans="1:30" ht="15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</row>
    <row r="14" spans="1:30" ht="15" customHeight="1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</row>
    <row r="15" spans="1:30" ht="15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</row>
    <row r="16" spans="1:30" ht="15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</row>
    <row r="17" spans="1:30" ht="15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</row>
    <row r="18" spans="1:30" ht="15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ht="15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15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</row>
    <row r="21" spans="1:30" ht="15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</row>
    <row r="22" spans="1:30" ht="15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</row>
    <row r="23" spans="1:30" ht="15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</row>
    <row r="24" spans="1:30" ht="1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</row>
    <row r="25" spans="1:30" ht="1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</row>
    <row r="26" spans="1:30" ht="1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ht="1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</row>
    <row r="28" spans="1:30" ht="1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</row>
    <row r="29" spans="1:30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</row>
    <row r="30" spans="1:30" ht="1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</row>
    <row r="31" spans="1:30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</row>
    <row r="32" spans="1:30" ht="15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ht="15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15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</row>
    <row r="35" spans="1:30" ht="1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</row>
    <row r="36" spans="1:30" ht="15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</row>
    <row r="37" spans="1:30" ht="1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</row>
    <row r="38" spans="1:30" ht="1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</row>
    <row r="39" spans="1:30" ht="1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</row>
    <row r="40" spans="1:30" ht="1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</row>
    <row r="41" spans="1:30" ht="1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</row>
    <row r="42" spans="1:30" ht="1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</row>
    <row r="43" spans="1:30" ht="1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</row>
    <row r="44" spans="1:30" ht="1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</row>
    <row r="45" spans="1:30" ht="1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</row>
    <row r="46" spans="1:30" ht="1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</row>
    <row r="47" spans="1:30" ht="1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</row>
    <row r="48" spans="1:30" ht="1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</row>
    <row r="49" spans="1:30" ht="1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</row>
    <row r="50" spans="1:30" ht="1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</row>
    <row r="51" spans="1:30" ht="1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</row>
    <row r="52" spans="1:30" ht="1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</row>
    <row r="53" spans="1:30" ht="1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</row>
    <row r="54" spans="1:30" ht="1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</row>
    <row r="55" spans="1:30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</row>
    <row r="56" spans="1:30" ht="15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</row>
    <row r="57" spans="1:30" ht="15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</row>
    <row r="58" spans="1:30" ht="1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</row>
    <row r="59" spans="1:30" ht="15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</row>
    <row r="60" spans="1:30" ht="1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</row>
    <row r="61" spans="1:30" ht="1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</row>
    <row r="62" spans="1:30" ht="1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</row>
    <row r="63" spans="1:30" ht="1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</row>
    <row r="64" spans="1:30" ht="1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</row>
    <row r="65" spans="1:30" ht="1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</row>
    <row r="66" spans="1:30" ht="1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</row>
    <row r="67" spans="1:30" ht="1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</row>
    <row r="68" spans="1:30" ht="1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</row>
    <row r="69" spans="1:30" ht="1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</row>
    <row r="70" spans="1:30" ht="1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</row>
    <row r="71" spans="1:30" ht="1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</row>
    <row r="72" spans="1:30" ht="1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</row>
    <row r="73" spans="1:30" ht="1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</row>
    <row r="74" spans="1:30" ht="1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</row>
    <row r="75" spans="1:30" ht="1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</row>
    <row r="76" spans="1:30" ht="1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</row>
    <row r="77" spans="1:30" ht="1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</row>
    <row r="78" spans="1:30" ht="1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</row>
    <row r="79" spans="1:30" ht="1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</row>
    <row r="80" spans="1:30" ht="15" customHeight="1" x14ac:dyDescent="0.3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</row>
    <row r="81" spans="1:30" ht="15" customHeight="1" x14ac:dyDescent="0.3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</row>
    <row r="82" spans="1:30" ht="15" customHeight="1" x14ac:dyDescent="0.3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</row>
    <row r="83" spans="1:30" ht="15" customHeight="1" x14ac:dyDescent="0.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</row>
    <row r="84" spans="1:30" ht="15" customHeight="1" x14ac:dyDescent="0.3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</row>
    <row r="85" spans="1:30" ht="15" customHeight="1" x14ac:dyDescent="0.3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17"/>
    </row>
    <row r="86" spans="1:30" ht="15" customHeight="1" x14ac:dyDescent="0.3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</row>
    <row r="87" spans="1:30" ht="15" customHeight="1" x14ac:dyDescent="0.3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</row>
    <row r="88" spans="1:30" ht="15" customHeight="1" x14ac:dyDescent="0.3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</row>
    <row r="89" spans="1:30" ht="15" customHeight="1" x14ac:dyDescent="0.3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</row>
    <row r="90" spans="1:30" ht="15" customHeight="1" x14ac:dyDescent="0.3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</row>
    <row r="91" spans="1:30" ht="15" customHeight="1" x14ac:dyDescent="0.3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</row>
    <row r="92" spans="1:30" ht="15" customHeight="1" x14ac:dyDescent="0.3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</row>
    <row r="93" spans="1:30" ht="15" customHeight="1" x14ac:dyDescent="0.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</row>
    <row r="94" spans="1:30" ht="15" customHeight="1" x14ac:dyDescent="0.3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</row>
    <row r="95" spans="1:30" ht="15" customHeight="1" x14ac:dyDescent="0.3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</row>
    <row r="96" spans="1:30" ht="15" customHeight="1" x14ac:dyDescent="0.3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</row>
    <row r="97" spans="1:30" ht="15" customHeight="1" x14ac:dyDescent="0.3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</row>
    <row r="98" spans="1:30" ht="15" customHeight="1" x14ac:dyDescent="0.3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</row>
    <row r="99" spans="1:30" ht="15" customHeight="1" x14ac:dyDescent="0.3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</row>
    <row r="100" spans="1:30" ht="15" customHeight="1" x14ac:dyDescent="0.3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ECC71"/>
  </sheetPr>
  <dimension ref="A1:AM79"/>
  <sheetViews>
    <sheetView showGridLines="0" showRowColHeaders="0" tabSelected="1" zoomScale="63" zoomScaleNormal="100" workbookViewId="0">
      <selection activeCell="AF11" sqref="AF11"/>
    </sheetView>
  </sheetViews>
  <sheetFormatPr defaultColWidth="8.6640625" defaultRowHeight="14.4" x14ac:dyDescent="0.3"/>
  <cols>
    <col min="1" max="1" width="2" customWidth="1"/>
    <col min="2" max="2" width="20" customWidth="1"/>
    <col min="3" max="3" width="4" customWidth="1"/>
    <col min="4" max="4" width="20" customWidth="1"/>
    <col min="5" max="5" width="4" customWidth="1"/>
    <col min="6" max="6" width="20" customWidth="1"/>
    <col min="7" max="7" width="4" customWidth="1"/>
    <col min="8" max="10" width="12" customWidth="1"/>
    <col min="11" max="34" width="5" customWidth="1"/>
  </cols>
  <sheetData>
    <row r="1" spans="1:39" ht="39.75" customHeight="1" x14ac:dyDescent="0.3">
      <c r="A1" s="17"/>
      <c r="B1" s="8" t="s">
        <v>79</v>
      </c>
      <c r="C1" s="8"/>
      <c r="D1" s="8"/>
      <c r="E1" s="8"/>
      <c r="F1" s="8"/>
      <c r="G1" s="8"/>
      <c r="H1" s="8"/>
      <c r="I1" s="8"/>
      <c r="J1" s="8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  <c r="AD1" s="17"/>
      <c r="AE1" s="17"/>
      <c r="AF1" s="17"/>
      <c r="AG1" s="17"/>
      <c r="AH1" s="17"/>
      <c r="AI1" s="17"/>
      <c r="AJ1" s="17"/>
      <c r="AK1" s="17"/>
      <c r="AL1" s="17"/>
      <c r="AM1" s="17"/>
    </row>
    <row r="2" spans="1:39" ht="19.5" customHeight="1" x14ac:dyDescent="0.3">
      <c r="A2" s="17"/>
      <c r="B2" s="7" t="s">
        <v>80</v>
      </c>
      <c r="C2" s="7"/>
      <c r="D2" s="7"/>
      <c r="E2" s="7"/>
      <c r="F2" s="7"/>
      <c r="G2" s="7"/>
      <c r="H2" s="7"/>
      <c r="I2" s="7"/>
      <c r="J2" s="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</row>
    <row r="3" spans="1:39" ht="18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</row>
    <row r="4" spans="1:39" ht="21.75" customHeight="1" x14ac:dyDescent="0.3">
      <c r="A4" s="17"/>
      <c r="B4" s="25" t="s">
        <v>81</v>
      </c>
      <c r="C4" s="17"/>
      <c r="D4" s="25" t="s">
        <v>82</v>
      </c>
      <c r="E4" s="17"/>
      <c r="F4" s="26" t="s">
        <v>83</v>
      </c>
      <c r="G4" s="17"/>
      <c r="H4" s="6" t="s">
        <v>84</v>
      </c>
      <c r="I4" s="6"/>
      <c r="J4" s="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</row>
    <row r="5" spans="1:39" ht="30" customHeight="1" x14ac:dyDescent="0.3">
      <c r="A5" s="17"/>
      <c r="B5" s="5">
        <f>'Summary Data'!B7</f>
        <v>2025500</v>
      </c>
      <c r="C5" s="17"/>
      <c r="D5" s="4">
        <f>'Summary Data'!B8</f>
        <v>34550</v>
      </c>
      <c r="E5" s="17"/>
      <c r="F5" s="4">
        <f>'Summary Data'!B9</f>
        <v>24</v>
      </c>
      <c r="G5" s="17"/>
      <c r="H5" s="6"/>
      <c r="I5" s="6"/>
      <c r="J5" s="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</row>
    <row r="6" spans="1:39" ht="9.75" customHeight="1" x14ac:dyDescent="0.3">
      <c r="A6" s="17"/>
      <c r="B6" s="5"/>
      <c r="C6" s="17"/>
      <c r="D6" s="4"/>
      <c r="E6" s="17"/>
      <c r="F6" s="4"/>
      <c r="G6" s="17"/>
      <c r="H6" s="6"/>
      <c r="I6" s="6"/>
      <c r="J6" s="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</row>
    <row r="7" spans="1:39" ht="18" customHeight="1" x14ac:dyDescent="0.3">
      <c r="A7" s="17"/>
      <c r="B7" s="17"/>
      <c r="C7" s="17"/>
      <c r="D7" s="17"/>
      <c r="E7" s="17"/>
      <c r="F7" s="17"/>
      <c r="G7" s="17"/>
      <c r="H7" s="6"/>
      <c r="I7" s="6"/>
      <c r="J7" s="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</row>
    <row r="8" spans="1:39" ht="21.75" customHeight="1" x14ac:dyDescent="0.3">
      <c r="A8" s="17"/>
      <c r="B8" s="27" t="s">
        <v>85</v>
      </c>
      <c r="C8" s="17"/>
      <c r="D8" s="17"/>
      <c r="E8" s="17"/>
      <c r="F8" s="27" t="s">
        <v>86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</row>
    <row r="9" spans="1:39" ht="18" customHeight="1" x14ac:dyDescent="0.3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</row>
    <row r="10" spans="1:39" ht="18" customHeigh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</row>
    <row r="11" spans="1:39" ht="18" customHeight="1" x14ac:dyDescent="0.3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</row>
    <row r="12" spans="1:39" ht="18" customHeigh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</row>
    <row r="13" spans="1:39" ht="18" customHeight="1" x14ac:dyDescent="0.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</row>
    <row r="14" spans="1:39" ht="18" customHeight="1" x14ac:dyDescent="0.3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</row>
    <row r="15" spans="1:39" ht="18" customHeigh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</row>
    <row r="16" spans="1:39" ht="18" customHeight="1" x14ac:dyDescent="0.3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</row>
    <row r="17" spans="1:39" ht="18" customHeight="1" x14ac:dyDescent="0.3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</row>
    <row r="18" spans="1:39" ht="18" customHeight="1" x14ac:dyDescent="0.3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</row>
    <row r="19" spans="1:39" ht="18" customHeigh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</row>
    <row r="20" spans="1:39" ht="18" customHeight="1" x14ac:dyDescent="0.3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  <c r="AD20" s="17"/>
      <c r="AE20" s="17"/>
      <c r="AF20" s="17"/>
      <c r="AG20" s="17"/>
      <c r="AH20" s="17"/>
      <c r="AI20" s="17"/>
      <c r="AJ20" s="17"/>
      <c r="AK20" s="17"/>
      <c r="AL20" s="17"/>
      <c r="AM20" s="17"/>
    </row>
    <row r="21" spans="1:39" ht="18" customHeight="1" x14ac:dyDescent="0.3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</row>
    <row r="22" spans="1:39" ht="18" customHeigh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</row>
    <row r="23" spans="1:39" ht="18" customHeight="1" x14ac:dyDescent="0.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  <c r="AD23" s="17"/>
      <c r="AE23" s="17"/>
      <c r="AF23" s="17"/>
      <c r="AG23" s="17"/>
      <c r="AH23" s="17"/>
      <c r="AI23" s="17"/>
      <c r="AJ23" s="17"/>
      <c r="AK23" s="17"/>
      <c r="AL23" s="17"/>
      <c r="AM23" s="17"/>
    </row>
    <row r="24" spans="1:39" ht="18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</row>
    <row r="25" spans="1:39" ht="18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</row>
    <row r="26" spans="1:39" ht="18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</row>
    <row r="27" spans="1:39" ht="18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</row>
    <row r="28" spans="1:39" ht="18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  <c r="AD28" s="17"/>
      <c r="AE28" s="17"/>
      <c r="AF28" s="17"/>
      <c r="AG28" s="17"/>
      <c r="AH28" s="17"/>
      <c r="AI28" s="17"/>
      <c r="AJ28" s="17"/>
      <c r="AK28" s="17"/>
      <c r="AL28" s="17"/>
      <c r="AM28" s="17"/>
    </row>
    <row r="29" spans="1:39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</row>
    <row r="30" spans="1:39" ht="18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</row>
    <row r="31" spans="1:39" ht="18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</row>
    <row r="32" spans="1:39" ht="18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</row>
    <row r="33" spans="1:39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</row>
    <row r="34" spans="1:39" ht="18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</row>
    <row r="35" spans="1:39" ht="18" customHeight="1" x14ac:dyDescent="0.3">
      <c r="A35" s="17"/>
      <c r="B35" s="27" t="s">
        <v>87</v>
      </c>
      <c r="C35" s="17"/>
      <c r="D35" s="17"/>
      <c r="E35" s="17"/>
      <c r="F35" s="27" t="s">
        <v>88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</row>
    <row r="36" spans="1:39" ht="18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  <c r="AD36" s="17"/>
      <c r="AE36" s="17"/>
      <c r="AF36" s="17"/>
      <c r="AG36" s="17"/>
      <c r="AH36" s="17"/>
      <c r="AI36" s="17"/>
      <c r="AJ36" s="17"/>
      <c r="AK36" s="17"/>
      <c r="AL36" s="17"/>
      <c r="AM36" s="17"/>
    </row>
    <row r="37" spans="1:39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</row>
    <row r="38" spans="1:39" ht="18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</row>
    <row r="39" spans="1:39" ht="18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</row>
    <row r="40" spans="1:39" ht="18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</row>
    <row r="41" spans="1:39" ht="18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</row>
    <row r="42" spans="1:39" ht="18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</row>
    <row r="43" spans="1:39" ht="18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</row>
    <row r="44" spans="1:39" ht="18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</row>
    <row r="45" spans="1:39" ht="18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</row>
    <row r="46" spans="1:39" ht="18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</row>
    <row r="47" spans="1:39" ht="18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  <c r="AD47" s="17"/>
      <c r="AE47" s="17"/>
      <c r="AF47" s="17"/>
      <c r="AG47" s="17"/>
      <c r="AH47" s="17"/>
      <c r="AI47" s="17"/>
      <c r="AJ47" s="17"/>
      <c r="AK47" s="17"/>
      <c r="AL47" s="17"/>
      <c r="AM47" s="17"/>
    </row>
    <row r="48" spans="1:39" ht="18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</row>
    <row r="49" spans="1:39" ht="18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</row>
    <row r="50" spans="1:39" ht="18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</row>
    <row r="51" spans="1:39" ht="18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</row>
    <row r="52" spans="1:39" ht="18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17"/>
      <c r="AH52" s="17"/>
      <c r="AI52" s="17"/>
      <c r="AJ52" s="17"/>
      <c r="AK52" s="17"/>
      <c r="AL52" s="17"/>
      <c r="AM52" s="17"/>
    </row>
    <row r="53" spans="1:39" ht="18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</row>
    <row r="54" spans="1:39" ht="18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</row>
    <row r="55" spans="1:39" ht="18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</row>
    <row r="56" spans="1:39" ht="18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</row>
    <row r="57" spans="1:39" ht="18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</row>
    <row r="58" spans="1:39" ht="18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</row>
    <row r="59" spans="1:39" ht="18" customHeight="1" x14ac:dyDescent="0.3">
      <c r="A59" s="17"/>
      <c r="B59" s="27" t="s">
        <v>89</v>
      </c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</row>
    <row r="60" spans="1:39" ht="18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</row>
    <row r="61" spans="1:39" ht="18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</row>
    <row r="62" spans="1:39" ht="18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</row>
    <row r="63" spans="1:39" ht="18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</row>
    <row r="64" spans="1:39" ht="18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</row>
    <row r="65" spans="1:39" ht="18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</row>
    <row r="66" spans="1:39" ht="18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</row>
    <row r="67" spans="1:39" ht="18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</row>
    <row r="68" spans="1:39" ht="18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</row>
    <row r="69" spans="1:39" ht="18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</row>
    <row r="70" spans="1:39" ht="18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</row>
    <row r="71" spans="1:39" ht="18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</row>
    <row r="72" spans="1:39" ht="18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</row>
    <row r="73" spans="1:39" ht="18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</row>
    <row r="74" spans="1:39" ht="18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</row>
    <row r="75" spans="1:39" ht="18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</row>
    <row r="76" spans="1:39" ht="18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</row>
    <row r="77" spans="1:39" ht="18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</row>
    <row r="78" spans="1:39" ht="18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</row>
    <row r="79" spans="1:39" ht="18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</row>
  </sheetData>
  <mergeCells count="6">
    <mergeCell ref="B1:J1"/>
    <mergeCell ref="B2:J2"/>
    <mergeCell ref="H4:J7"/>
    <mergeCell ref="B5:B6"/>
    <mergeCell ref="D5:D6"/>
    <mergeCell ref="F5:F6"/>
  </mergeCells>
  <pageMargins left="0.75" right="0.75" top="1" bottom="1" header="0.511811023622047" footer="0.511811023622047"/>
  <pageSetup orientation="landscape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3498DB"/>
  </sheetPr>
  <dimension ref="A1:AC59"/>
  <sheetViews>
    <sheetView showGridLines="0" showRowColHeaders="0" zoomScaleNormal="100" workbookViewId="0"/>
  </sheetViews>
  <sheetFormatPr defaultColWidth="8.6640625" defaultRowHeight="14.4" x14ac:dyDescent="0.3"/>
  <cols>
    <col min="1" max="1" width="6" customWidth="1"/>
    <col min="2" max="2" width="22" customWidth="1"/>
    <col min="3" max="3" width="6" customWidth="1"/>
    <col min="4" max="4" width="22" customWidth="1"/>
    <col min="5" max="5" width="6" customWidth="1"/>
    <col min="6" max="6" width="22" customWidth="1"/>
    <col min="7" max="7" width="6" customWidth="1"/>
    <col min="8" max="8" width="22" customWidth="1"/>
    <col min="9" max="24" width="6" customWidth="1"/>
  </cols>
  <sheetData>
    <row r="1" spans="1:29" ht="37.5" customHeight="1" x14ac:dyDescent="0.3">
      <c r="A1" s="17"/>
      <c r="B1" s="3" t="s">
        <v>90</v>
      </c>
      <c r="C1" s="3"/>
      <c r="D1" s="3"/>
      <c r="E1" s="3"/>
      <c r="F1" s="3"/>
      <c r="G1" s="3"/>
      <c r="H1" s="3"/>
      <c r="I1" s="3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19.5" customHeight="1" x14ac:dyDescent="0.3">
      <c r="A2" s="17"/>
      <c r="B2" s="7" t="s">
        <v>91</v>
      </c>
      <c r="C2" s="7"/>
      <c r="D2" s="7"/>
      <c r="E2" s="7"/>
      <c r="F2" s="7"/>
      <c r="G2" s="7"/>
      <c r="H2" s="7"/>
      <c r="I2" s="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3" spans="1:29" ht="18" customHeight="1" x14ac:dyDescent="0.3">
      <c r="A3" s="17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</row>
    <row r="4" spans="1:29" ht="21.75" customHeight="1" x14ac:dyDescent="0.3">
      <c r="A4" s="17"/>
      <c r="B4" s="25" t="s">
        <v>81</v>
      </c>
      <c r="C4" s="17"/>
      <c r="D4" s="25" t="s">
        <v>82</v>
      </c>
      <c r="E4" s="17"/>
      <c r="F4" s="26" t="s">
        <v>83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30" customHeight="1" x14ac:dyDescent="0.3">
      <c r="A5" s="17"/>
      <c r="B5" s="5">
        <f>'Summary Data'!B7</f>
        <v>2025500</v>
      </c>
      <c r="C5" s="17"/>
      <c r="D5" s="4">
        <f>'Summary Data'!B8</f>
        <v>34550</v>
      </c>
      <c r="E5" s="17"/>
      <c r="F5" s="4">
        <f>'Summary Data'!B9</f>
        <v>24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spans="1:29" ht="9.75" customHeight="1" x14ac:dyDescent="0.3">
      <c r="A6" s="17"/>
      <c r="B6" s="5"/>
      <c r="C6" s="17"/>
      <c r="D6" s="4"/>
      <c r="E6" s="17"/>
      <c r="F6" s="4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spans="1:29" ht="18" customHeight="1" x14ac:dyDescent="0.3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spans="1:29" ht="21.75" customHeight="1" x14ac:dyDescent="0.3">
      <c r="A8" s="17"/>
      <c r="B8" s="2" t="s">
        <v>92</v>
      </c>
      <c r="C8" s="2"/>
      <c r="D8" s="2"/>
      <c r="E8" s="2"/>
      <c r="F8" s="2"/>
      <c r="G8" s="2"/>
      <c r="H8" s="2"/>
      <c r="I8" s="2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spans="1:29" ht="21.75" customHeight="1" x14ac:dyDescent="0.3">
      <c r="A9" s="17"/>
      <c r="B9" s="18" t="s">
        <v>3</v>
      </c>
      <c r="C9" s="18" t="s">
        <v>2</v>
      </c>
      <c r="D9" s="18" t="s">
        <v>6</v>
      </c>
      <c r="E9" s="18" t="s">
        <v>5</v>
      </c>
      <c r="F9" s="18" t="s">
        <v>4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spans="1:29" ht="18" customHeight="1" x14ac:dyDescent="0.3">
      <c r="A10" s="17"/>
      <c r="B10" s="29" t="s">
        <v>11</v>
      </c>
      <c r="C10" s="30" t="s">
        <v>10</v>
      </c>
      <c r="D10" s="31">
        <f>SUMIF('Nike Dataset'!D$2:D$25,B10,'Nike Dataset'!G$2:G$25)</f>
        <v>133000</v>
      </c>
      <c r="E10" s="32">
        <f>SUMIF('Nike Dataset'!D$2:D$25,B10,'Nike Dataset'!F$2:F$25)</f>
        <v>2000</v>
      </c>
      <c r="F10" s="30" t="s">
        <v>12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spans="1:29" ht="18" customHeight="1" x14ac:dyDescent="0.3">
      <c r="A11" s="17"/>
      <c r="B11" s="33" t="s">
        <v>19</v>
      </c>
      <c r="C11" s="34" t="s">
        <v>18</v>
      </c>
      <c r="D11" s="35">
        <f>SUMIF('Nike Dataset'!D$2:D$25,B11,'Nike Dataset'!G$2:G$25)</f>
        <v>301000</v>
      </c>
      <c r="E11" s="36">
        <f>SUMIF('Nike Dataset'!D$2:D$25,B11,'Nike Dataset'!F$2:F$25)</f>
        <v>4300</v>
      </c>
      <c r="F11" s="34" t="s">
        <v>20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spans="1:29" ht="18" customHeight="1" x14ac:dyDescent="0.3">
      <c r="A12" s="17"/>
      <c r="B12" s="29" t="s">
        <v>27</v>
      </c>
      <c r="C12" s="30" t="s">
        <v>26</v>
      </c>
      <c r="D12" s="31">
        <f>SUMIF('Nike Dataset'!D$2:D$25,B12,'Nike Dataset'!G$2:G$25)</f>
        <v>194000</v>
      </c>
      <c r="E12" s="32">
        <f>SUMIF('Nike Dataset'!D$2:D$25,B12,'Nike Dataset'!F$2:F$25)</f>
        <v>4600</v>
      </c>
      <c r="F12" s="30" t="s">
        <v>12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spans="1:29" ht="18" customHeight="1" x14ac:dyDescent="0.3">
      <c r="A13" s="17"/>
      <c r="B13" s="33" t="s">
        <v>33</v>
      </c>
      <c r="C13" s="34" t="s">
        <v>32</v>
      </c>
      <c r="D13" s="35">
        <f>SUMIF('Nike Dataset'!D$2:D$25,B13,'Nike Dataset'!G$2:G$25)</f>
        <v>129000</v>
      </c>
      <c r="E13" s="36">
        <f>SUMIF('Nike Dataset'!D$2:D$25,B13,'Nike Dataset'!F$2:F$25)</f>
        <v>2000</v>
      </c>
      <c r="F13" s="34" t="s">
        <v>20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spans="1:29" ht="18" customHeight="1" x14ac:dyDescent="0.3">
      <c r="A14" s="17"/>
      <c r="B14" s="29" t="s">
        <v>38</v>
      </c>
      <c r="C14" s="30" t="s">
        <v>37</v>
      </c>
      <c r="D14" s="31">
        <f>SUMIF('Nike Dataset'!D$2:D$25,B14,'Nike Dataset'!G$2:G$25)</f>
        <v>81000</v>
      </c>
      <c r="E14" s="32">
        <f>SUMIF('Nike Dataset'!D$2:D$25,B14,'Nike Dataset'!F$2:F$25)</f>
        <v>1350</v>
      </c>
      <c r="F14" s="30" t="s">
        <v>39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spans="1:29" ht="18" customHeight="1" x14ac:dyDescent="0.3">
      <c r="A15" s="17"/>
      <c r="B15" s="33" t="s">
        <v>42</v>
      </c>
      <c r="C15" s="34" t="s">
        <v>10</v>
      </c>
      <c r="D15" s="35">
        <f>SUMIF('Nike Dataset'!D$2:D$25,B15,'Nike Dataset'!G$2:G$25)</f>
        <v>57000</v>
      </c>
      <c r="E15" s="36">
        <f>SUMIF('Nike Dataset'!D$2:D$25,B15,'Nike Dataset'!F$2:F$25)</f>
        <v>950</v>
      </c>
      <c r="F15" s="34" t="s">
        <v>12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spans="1:29" ht="18" customHeight="1" x14ac:dyDescent="0.3">
      <c r="A16" s="17"/>
      <c r="B16" s="29" t="s">
        <v>44</v>
      </c>
      <c r="C16" s="30" t="s">
        <v>18</v>
      </c>
      <c r="D16" s="31">
        <f>SUMIF('Nike Dataset'!D$2:D$25,B16,'Nike Dataset'!G$2:G$25)</f>
        <v>147000</v>
      </c>
      <c r="E16" s="32">
        <f>SUMIF('Nike Dataset'!D$2:D$25,B16,'Nike Dataset'!F$2:F$25)</f>
        <v>2100</v>
      </c>
      <c r="F16" s="30" t="s">
        <v>20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spans="1:29" ht="18" customHeight="1" x14ac:dyDescent="0.3">
      <c r="A17" s="17"/>
      <c r="B17" s="33" t="s">
        <v>46</v>
      </c>
      <c r="C17" s="34" t="s">
        <v>26</v>
      </c>
      <c r="D17" s="35">
        <f>SUMIF('Nike Dataset'!D$2:D$25,B17,'Nike Dataset'!G$2:G$25)</f>
        <v>112000</v>
      </c>
      <c r="E17" s="36">
        <f>SUMIF('Nike Dataset'!D$2:D$25,B17,'Nike Dataset'!F$2:F$25)</f>
        <v>1600</v>
      </c>
      <c r="F17" s="34" t="s">
        <v>12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spans="1:29" ht="18" customHeight="1" x14ac:dyDescent="0.3">
      <c r="A18" s="17"/>
      <c r="B18" s="29" t="s">
        <v>48</v>
      </c>
      <c r="C18" s="30" t="s">
        <v>18</v>
      </c>
      <c r="D18" s="31">
        <f>SUMIF('Nike Dataset'!D$2:D$25,B18,'Nike Dataset'!G$2:G$25)</f>
        <v>78000</v>
      </c>
      <c r="E18" s="32">
        <f>SUMIF('Nike Dataset'!D$2:D$25,B18,'Nike Dataset'!F$2:F$25)</f>
        <v>1300</v>
      </c>
      <c r="F18" s="30" t="s">
        <v>20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spans="1:29" ht="18" customHeight="1" x14ac:dyDescent="0.3">
      <c r="A19" s="17"/>
      <c r="B19" s="33" t="s">
        <v>50</v>
      </c>
      <c r="C19" s="34" t="s">
        <v>37</v>
      </c>
      <c r="D19" s="35">
        <f>SUMIF('Nike Dataset'!D$2:D$25,B19,'Nike Dataset'!G$2:G$25)</f>
        <v>33000</v>
      </c>
      <c r="E19" s="36">
        <f>SUMIF('Nike Dataset'!D$2:D$25,B19,'Nike Dataset'!F$2:F$25)</f>
        <v>550</v>
      </c>
      <c r="F19" s="34" t="s">
        <v>39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</row>
    <row r="20" spans="1:29" ht="18" customHeight="1" x14ac:dyDescent="0.3">
      <c r="A20" s="17"/>
      <c r="B20" s="29" t="s">
        <v>52</v>
      </c>
      <c r="C20" s="30" t="s">
        <v>32</v>
      </c>
      <c r="D20" s="31">
        <f>SUMIF('Nike Dataset'!D$2:D$25,B20,'Nike Dataset'!G$2:G$25)</f>
        <v>52200</v>
      </c>
      <c r="E20" s="32">
        <f>SUMIF('Nike Dataset'!D$2:D$25,B20,'Nike Dataset'!F$2:F$25)</f>
        <v>870</v>
      </c>
      <c r="F20" s="30" t="s">
        <v>12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  <c r="AB20" s="17"/>
      <c r="AC20" s="17"/>
    </row>
    <row r="21" spans="1:29" ht="18" customHeight="1" x14ac:dyDescent="0.3">
      <c r="A21" s="17"/>
      <c r="B21" s="33" t="s">
        <v>54</v>
      </c>
      <c r="C21" s="34" t="s">
        <v>18</v>
      </c>
      <c r="D21" s="35">
        <f>SUMIF('Nike Dataset'!D$2:D$25,B21,'Nike Dataset'!G$2:G$25)</f>
        <v>58500</v>
      </c>
      <c r="E21" s="36">
        <f>SUMIF('Nike Dataset'!D$2:D$25,B21,'Nike Dataset'!F$2:F$25)</f>
        <v>1950</v>
      </c>
      <c r="F21" s="34" t="s">
        <v>20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</row>
    <row r="22" spans="1:29" ht="18" customHeight="1" x14ac:dyDescent="0.3">
      <c r="A22" s="17"/>
      <c r="B22" s="29" t="s">
        <v>56</v>
      </c>
      <c r="C22" s="30" t="s">
        <v>26</v>
      </c>
      <c r="D22" s="31">
        <f>SUMIF('Nike Dataset'!D$2:D$25,B22,'Nike Dataset'!G$2:G$25)</f>
        <v>154000</v>
      </c>
      <c r="E22" s="32">
        <f>SUMIF('Nike Dataset'!D$2:D$25,B22,'Nike Dataset'!F$2:F$25)</f>
        <v>2200</v>
      </c>
      <c r="F22" s="30" t="s">
        <v>12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</row>
    <row r="23" spans="1:29" ht="18" customHeight="1" x14ac:dyDescent="0.3">
      <c r="A23" s="17"/>
      <c r="B23" s="33" t="s">
        <v>58</v>
      </c>
      <c r="C23" s="34" t="s">
        <v>10</v>
      </c>
      <c r="D23" s="35">
        <f>SUMIF('Nike Dataset'!D$2:D$25,B23,'Nike Dataset'!G$2:G$25)</f>
        <v>73500</v>
      </c>
      <c r="E23" s="36">
        <f>SUMIF('Nike Dataset'!D$2:D$25,B23,'Nike Dataset'!F$2:F$25)</f>
        <v>1050</v>
      </c>
      <c r="F23" s="34" t="s">
        <v>20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  <c r="AB23" s="17"/>
      <c r="AC23" s="17"/>
    </row>
    <row r="24" spans="1:29" ht="18" customHeight="1" x14ac:dyDescent="0.3">
      <c r="A24" s="17"/>
      <c r="B24" s="29" t="s">
        <v>60</v>
      </c>
      <c r="C24" s="30" t="s">
        <v>37</v>
      </c>
      <c r="D24" s="31">
        <f>SUMIF('Nike Dataset'!D$2:D$25,B24,'Nike Dataset'!G$2:G$25)</f>
        <v>40800</v>
      </c>
      <c r="E24" s="32">
        <f>SUMIF('Nike Dataset'!D$2:D$25,B24,'Nike Dataset'!F$2:F$25)</f>
        <v>680</v>
      </c>
      <c r="F24" s="30" t="s">
        <v>39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</row>
    <row r="25" spans="1:29" ht="18" customHeight="1" x14ac:dyDescent="0.3">
      <c r="A25" s="17"/>
      <c r="B25" s="33" t="s">
        <v>62</v>
      </c>
      <c r="C25" s="34" t="s">
        <v>32</v>
      </c>
      <c r="D25" s="35">
        <f>SUMIF('Nike Dataset'!D$2:D$25,B25,'Nike Dataset'!G$2:G$25)</f>
        <v>77000</v>
      </c>
      <c r="E25" s="36">
        <f>SUMIF('Nike Dataset'!D$2:D$25,B25,'Nike Dataset'!F$2:F$25)</f>
        <v>1100</v>
      </c>
      <c r="F25" s="34" t="s">
        <v>12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8" customHeight="1" x14ac:dyDescent="0.3">
      <c r="A26" s="17"/>
      <c r="B26" s="29" t="s">
        <v>64</v>
      </c>
      <c r="C26" s="30" t="s">
        <v>18</v>
      </c>
      <c r="D26" s="31">
        <f>SUMIF('Nike Dataset'!D$2:D$25,B26,'Nike Dataset'!G$2:G$25)</f>
        <v>119000</v>
      </c>
      <c r="E26" s="32">
        <f>SUMIF('Nike Dataset'!D$2:D$25,B26,'Nike Dataset'!F$2:F$25)</f>
        <v>1700</v>
      </c>
      <c r="F26" s="30" t="s">
        <v>20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8" customHeight="1" x14ac:dyDescent="0.3">
      <c r="A27" s="17"/>
      <c r="B27" s="33" t="s">
        <v>66</v>
      </c>
      <c r="C27" s="34" t="s">
        <v>26</v>
      </c>
      <c r="D27" s="35">
        <f>SUMIF('Nike Dataset'!D$2:D$25,B27,'Nike Dataset'!G$2:G$25)</f>
        <v>84000</v>
      </c>
      <c r="E27" s="36">
        <f>SUMIF('Nike Dataset'!D$2:D$25,B27,'Nike Dataset'!F$2:F$25)</f>
        <v>2800</v>
      </c>
      <c r="F27" s="34" t="s">
        <v>12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8" customHeight="1" x14ac:dyDescent="0.3">
      <c r="A28" s="17"/>
      <c r="B28" s="29" t="s">
        <v>68</v>
      </c>
      <c r="C28" s="30" t="s">
        <v>10</v>
      </c>
      <c r="D28" s="31">
        <f>SUMIF('Nike Dataset'!D$2:D$25,B28,'Nike Dataset'!G$2:G$25)</f>
        <v>101500</v>
      </c>
      <c r="E28" s="32">
        <f>SUMIF('Nike Dataset'!D$2:D$25,B28,'Nike Dataset'!F$2:F$25)</f>
        <v>1450</v>
      </c>
      <c r="F28" s="30" t="s">
        <v>20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18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18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18" customHeight="1" x14ac:dyDescent="0.3">
      <c r="A31" s="17"/>
      <c r="B31" s="17"/>
      <c r="C31" s="17"/>
      <c r="D31" s="17"/>
      <c r="E31" s="17"/>
      <c r="F31" s="17"/>
      <c r="G31" s="17"/>
      <c r="H31" s="28" t="s">
        <v>93</v>
      </c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spans="1:29" ht="18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spans="1:29" ht="18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spans="1:29" ht="18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spans="1:29" ht="18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spans="1:29" ht="18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spans="1:29" ht="18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spans="1:29" ht="18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spans="1:29" ht="18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</row>
    <row r="40" spans="1:29" ht="18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</row>
    <row r="41" spans="1:29" ht="18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</row>
    <row r="42" spans="1:29" ht="18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spans="1:29" ht="18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spans="1:29" ht="18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29" ht="18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29" ht="18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</row>
    <row r="47" spans="1:29" ht="18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C47" s="17"/>
    </row>
    <row r="48" spans="1:29" ht="18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spans="1:29" ht="18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spans="1:29" ht="18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spans="1:29" ht="18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spans="1:29" ht="18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spans="1:29" ht="18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spans="1:29" ht="18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</row>
    <row r="55" spans="1:29" ht="18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</row>
    <row r="56" spans="1:29" ht="18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</row>
    <row r="57" spans="1:29" ht="18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29" ht="18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</row>
    <row r="59" spans="1:29" ht="18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</row>
  </sheetData>
  <mergeCells count="6">
    <mergeCell ref="B8:I8"/>
    <mergeCell ref="B1:I1"/>
    <mergeCell ref="B2:I2"/>
    <mergeCell ref="B5:B6"/>
    <mergeCell ref="D5:D6"/>
    <mergeCell ref="F5:F6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5A623"/>
  </sheetPr>
  <dimension ref="A1:S79"/>
  <sheetViews>
    <sheetView showGridLines="0" showRowColHeaders="0" zoomScaleNormal="100" workbookViewId="0"/>
  </sheetViews>
  <sheetFormatPr defaultColWidth="8.6640625" defaultRowHeight="14.4" x14ac:dyDescent="0.3"/>
  <cols>
    <col min="2" max="2" width="30" customWidth="1"/>
    <col min="3" max="3" width="70" customWidth="1"/>
    <col min="4" max="4" width="5" customWidth="1"/>
  </cols>
  <sheetData>
    <row r="1" spans="1:19" ht="34.5" customHeight="1" x14ac:dyDescent="0.3">
      <c r="A1" s="17"/>
      <c r="B1" s="1" t="s">
        <v>94</v>
      </c>
      <c r="C1" s="1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</row>
    <row r="2" spans="1:19" ht="15" customHeigh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</row>
    <row r="3" spans="1:19" ht="27.75" customHeight="1" x14ac:dyDescent="0.3">
      <c r="A3" s="17"/>
      <c r="B3" s="37" t="s">
        <v>95</v>
      </c>
      <c r="C3" s="37" t="s">
        <v>96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</row>
    <row r="4" spans="1:19" ht="27.75" customHeight="1" x14ac:dyDescent="0.3">
      <c r="A4" s="17"/>
      <c r="B4" s="38" t="s">
        <v>97</v>
      </c>
      <c r="C4" s="33" t="s">
        <v>98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</row>
    <row r="5" spans="1:19" ht="27.75" customHeight="1" x14ac:dyDescent="0.3">
      <c r="A5" s="17"/>
      <c r="B5" s="39" t="s">
        <v>99</v>
      </c>
      <c r="C5" s="29" t="s">
        <v>100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 spans="1:19" ht="27.75" customHeight="1" x14ac:dyDescent="0.3">
      <c r="A6" s="17"/>
      <c r="B6" s="38" t="s">
        <v>101</v>
      </c>
      <c r="C6" s="33" t="s">
        <v>102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</row>
    <row r="7" spans="1:19" ht="27.75" customHeight="1" x14ac:dyDescent="0.3">
      <c r="A7" s="17"/>
      <c r="B7" s="39" t="s">
        <v>103</v>
      </c>
      <c r="C7" s="29" t="s">
        <v>104</v>
      </c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</row>
    <row r="8" spans="1:19" ht="27.75" customHeight="1" x14ac:dyDescent="0.3">
      <c r="A8" s="17"/>
      <c r="B8" s="40"/>
      <c r="C8" s="33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</row>
    <row r="9" spans="1:19" ht="27.75" customHeight="1" x14ac:dyDescent="0.3">
      <c r="A9" s="17"/>
      <c r="B9" s="37" t="s">
        <v>105</v>
      </c>
      <c r="C9" s="37" t="s">
        <v>106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</row>
    <row r="10" spans="1:19" ht="27.75" customHeight="1" x14ac:dyDescent="0.3">
      <c r="A10" s="17"/>
      <c r="B10" s="38" t="s">
        <v>107</v>
      </c>
      <c r="C10" s="33" t="s">
        <v>108</v>
      </c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</row>
    <row r="11" spans="1:19" ht="27.75" customHeight="1" x14ac:dyDescent="0.3">
      <c r="A11" s="17"/>
      <c r="B11" s="39" t="s">
        <v>109</v>
      </c>
      <c r="C11" s="29" t="s">
        <v>110</v>
      </c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</row>
    <row r="12" spans="1:19" ht="27.75" customHeight="1" x14ac:dyDescent="0.3">
      <c r="A12" s="17"/>
      <c r="B12" s="38" t="s">
        <v>111</v>
      </c>
      <c r="C12" s="33" t="s">
        <v>112</v>
      </c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</row>
    <row r="13" spans="1:19" ht="27.75" customHeight="1" x14ac:dyDescent="0.3">
      <c r="A13" s="17"/>
      <c r="B13" s="39" t="s">
        <v>113</v>
      </c>
      <c r="C13" s="29" t="s">
        <v>114</v>
      </c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</row>
    <row r="14" spans="1:19" ht="27.75" customHeight="1" x14ac:dyDescent="0.3">
      <c r="A14" s="17"/>
      <c r="B14" s="38" t="s">
        <v>115</v>
      </c>
      <c r="C14" s="33" t="s">
        <v>116</v>
      </c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</row>
    <row r="15" spans="1:19" ht="27.75" customHeight="1" x14ac:dyDescent="0.3">
      <c r="A15" s="17"/>
      <c r="B15" s="39" t="s">
        <v>117</v>
      </c>
      <c r="C15" s="29" t="s">
        <v>118</v>
      </c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</row>
    <row r="16" spans="1:19" ht="27.75" customHeight="1" x14ac:dyDescent="0.3">
      <c r="A16" s="17"/>
      <c r="B16" s="38" t="s">
        <v>119</v>
      </c>
      <c r="C16" s="33" t="s">
        <v>120</v>
      </c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</row>
    <row r="17" spans="1:19" ht="27.75" customHeight="1" x14ac:dyDescent="0.3">
      <c r="A17" s="17"/>
      <c r="B17" s="39" t="s">
        <v>121</v>
      </c>
      <c r="C17" s="29" t="s">
        <v>122</v>
      </c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</row>
    <row r="18" spans="1:19" ht="27.75" customHeight="1" x14ac:dyDescent="0.3">
      <c r="A18" s="17"/>
      <c r="B18" s="40"/>
      <c r="C18" s="33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</row>
    <row r="19" spans="1:19" ht="27.75" customHeight="1" x14ac:dyDescent="0.3">
      <c r="A19" s="17"/>
      <c r="B19" s="37" t="s">
        <v>123</v>
      </c>
      <c r="C19" s="3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</row>
    <row r="20" spans="1:19" ht="27.75" customHeight="1" x14ac:dyDescent="0.3">
      <c r="A20" s="17"/>
      <c r="B20" s="38" t="s">
        <v>74</v>
      </c>
      <c r="C20" s="41">
        <f>SUM('Nike Dataset'!G2:G25)</f>
        <v>2025500</v>
      </c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</row>
    <row r="21" spans="1:19" ht="27.75" customHeight="1" x14ac:dyDescent="0.3">
      <c r="A21" s="17"/>
      <c r="B21" s="39" t="s">
        <v>124</v>
      </c>
      <c r="C21" s="29" t="s">
        <v>125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</row>
    <row r="22" spans="1:19" ht="27.75" customHeight="1" x14ac:dyDescent="0.3">
      <c r="A22" s="17"/>
      <c r="B22" s="38" t="s">
        <v>126</v>
      </c>
      <c r="C22" s="33" t="s">
        <v>127</v>
      </c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</row>
    <row r="23" spans="1:19" ht="27.75" customHeight="1" x14ac:dyDescent="0.3">
      <c r="A23" s="17"/>
      <c r="B23" s="39" t="s">
        <v>76</v>
      </c>
      <c r="C23" s="29">
        <f>COUNTA('Nike Dataset'!A2:A25)</f>
        <v>24</v>
      </c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</row>
    <row r="24" spans="1:19" ht="15" customHeight="1" x14ac:dyDescent="0.3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</row>
    <row r="25" spans="1:19" ht="15" customHeight="1" x14ac:dyDescent="0.3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</row>
    <row r="26" spans="1:19" ht="15" customHeight="1" x14ac:dyDescent="0.3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</row>
    <row r="27" spans="1:19" ht="1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</row>
    <row r="28" spans="1:19" ht="15" customHeight="1" x14ac:dyDescent="0.3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</row>
    <row r="29" spans="1:19" ht="1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</row>
    <row r="30" spans="1:19" ht="15" customHeight="1" x14ac:dyDescent="0.3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</row>
    <row r="31" spans="1:19" ht="15" customHeight="1" x14ac:dyDescent="0.3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</row>
    <row r="32" spans="1:19" ht="15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</row>
    <row r="33" spans="1:19" ht="15" customHeight="1" x14ac:dyDescent="0.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</row>
    <row r="34" spans="1:19" ht="15" customHeight="1" x14ac:dyDescent="0.3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</row>
    <row r="35" spans="1:19" ht="1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</row>
    <row r="36" spans="1:19" ht="15" customHeight="1" x14ac:dyDescent="0.3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</row>
    <row r="37" spans="1:19" ht="15" customHeigh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</row>
    <row r="38" spans="1:19" ht="15" customHeight="1" x14ac:dyDescent="0.3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</row>
    <row r="39" spans="1:19" ht="15" customHeight="1" x14ac:dyDescent="0.3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</row>
    <row r="40" spans="1:19" ht="15" customHeight="1" x14ac:dyDescent="0.3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</row>
    <row r="41" spans="1:19" ht="15" customHeight="1" x14ac:dyDescent="0.3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</row>
    <row r="42" spans="1:19" ht="15" customHeight="1" x14ac:dyDescent="0.3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</row>
    <row r="43" spans="1:19" ht="15" customHeight="1" x14ac:dyDescent="0.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</row>
    <row r="44" spans="1:19" ht="15" customHeight="1" x14ac:dyDescent="0.3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</row>
    <row r="45" spans="1:19" ht="15" customHeight="1" x14ac:dyDescent="0.3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</row>
    <row r="46" spans="1:19" ht="15" customHeight="1" x14ac:dyDescent="0.3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</row>
    <row r="47" spans="1:19" ht="15" customHeight="1" x14ac:dyDescent="0.3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</row>
    <row r="48" spans="1:19" ht="15" customHeigh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</row>
    <row r="49" spans="1:19" ht="15" customHeight="1" x14ac:dyDescent="0.3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</row>
    <row r="50" spans="1:19" ht="15" customHeight="1" x14ac:dyDescent="0.3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</row>
    <row r="51" spans="1:19" ht="15" customHeigh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</row>
    <row r="52" spans="1:19" ht="15" customHeight="1" x14ac:dyDescent="0.3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</row>
    <row r="53" spans="1:19" ht="15" customHeight="1" x14ac:dyDescent="0.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</row>
    <row r="54" spans="1:19" ht="15" customHeight="1" x14ac:dyDescent="0.3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</row>
    <row r="55" spans="1:19" ht="15" customHeight="1" x14ac:dyDescent="0.3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</row>
    <row r="56" spans="1:19" ht="15" customHeight="1" x14ac:dyDescent="0.3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</row>
    <row r="57" spans="1:19" ht="15" customHeight="1" x14ac:dyDescent="0.3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</row>
    <row r="58" spans="1:19" ht="15" customHeight="1" x14ac:dyDescent="0.3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</row>
    <row r="59" spans="1:19" ht="15" customHeight="1" x14ac:dyDescent="0.3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</row>
    <row r="60" spans="1:19" ht="15" customHeight="1" x14ac:dyDescent="0.3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</row>
    <row r="61" spans="1:19" ht="15" customHeight="1" x14ac:dyDescent="0.3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</row>
    <row r="62" spans="1:19" ht="15" customHeight="1" x14ac:dyDescent="0.3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</row>
    <row r="63" spans="1:19" ht="15" customHeight="1" x14ac:dyDescent="0.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</row>
    <row r="64" spans="1:19" ht="15" customHeight="1" x14ac:dyDescent="0.3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</row>
    <row r="65" spans="1:19" ht="15" customHeight="1" x14ac:dyDescent="0.3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</row>
    <row r="66" spans="1:19" ht="15" customHeight="1" x14ac:dyDescent="0.3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</row>
    <row r="67" spans="1:19" ht="15" customHeight="1" x14ac:dyDescent="0.3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</row>
    <row r="68" spans="1:19" ht="15" customHeight="1" x14ac:dyDescent="0.3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</row>
    <row r="69" spans="1:19" ht="15" customHeight="1" x14ac:dyDescent="0.3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</row>
    <row r="70" spans="1:19" ht="15" customHeight="1" x14ac:dyDescent="0.3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</row>
    <row r="71" spans="1:19" ht="15" customHeight="1" x14ac:dyDescent="0.3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</row>
    <row r="72" spans="1:19" ht="15" customHeight="1" x14ac:dyDescent="0.3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</row>
    <row r="73" spans="1:19" ht="15" customHeight="1" x14ac:dyDescent="0.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</row>
    <row r="74" spans="1:19" ht="15" customHeight="1" x14ac:dyDescent="0.3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</row>
    <row r="75" spans="1:19" ht="15" customHeight="1" x14ac:dyDescent="0.3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</row>
    <row r="76" spans="1:19" ht="15" customHeight="1" x14ac:dyDescent="0.3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</row>
    <row r="77" spans="1:19" ht="15" customHeight="1" x14ac:dyDescent="0.3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</row>
    <row r="78" spans="1:19" ht="15" customHeight="1" x14ac:dyDescent="0.3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</row>
    <row r="79" spans="1:19" ht="15" customHeight="1" x14ac:dyDescent="0.3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</row>
  </sheetData>
  <mergeCells count="1">
    <mergeCell ref="B1:C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Nike Dataset</vt:lpstr>
      <vt:lpstr>Summary Data</vt:lpstr>
      <vt:lpstr>Dashboard - Page 1</vt:lpstr>
      <vt:lpstr>Dashboard - Page 2</vt:lpstr>
      <vt:lpstr>📋 How It Was Made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Archita Shilkande</cp:lastModifiedBy>
  <cp:revision>2</cp:revision>
  <dcterms:created xsi:type="dcterms:W3CDTF">2026-06-14T11:24:13Z</dcterms:created>
  <dcterms:modified xsi:type="dcterms:W3CDTF">2026-06-28T08:26:20Z</dcterms:modified>
  <dc:language>en-US</dc:language>
</cp:coreProperties>
</file>